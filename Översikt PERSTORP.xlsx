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46220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s="2" t="inlineStr">
        <is>
          <t>Blåmossa
Brandticka
Guldlockmossa
Rostfläck
Strutbräken
Västlig hakmossa
Spillkråka
Kopparödla
Vanlig padda
Revlummer</t>
        </is>
      </c>
      <c r="V2">
        <f>HYPERLINK("https://klasma.github.io/Logging_1275/artfynd/S 1099-2024 artfynd.xlsx", "S 1099-2024")</f>
        <v/>
      </c>
      <c r="W2">
        <f>HYPERLINK("https://klasma.github.io/Logging_1275/kartor/S 1099-2024 karta.png", "S 1099-2024")</f>
        <v/>
      </c>
      <c r="Y2">
        <f>HYPERLINK("https://klasma.github.io/Logging_1275/klagomål/S 1099-2024 FSC-klagomål.docx", "S 1099-2024")</f>
        <v/>
      </c>
      <c r="Z2">
        <f>HYPERLINK("https://klasma.github.io/Logging_1275/klagomålsmail/S 1099-2024 FSC-klagomål mail.docx", "S 1099-2024")</f>
        <v/>
      </c>
      <c r="AA2">
        <f>HYPERLINK("https://klasma.github.io/Logging_1275/tillsyn/S 1099-2024 tillsynsbegäran.docx", "S 1099-2024")</f>
        <v/>
      </c>
      <c r="AB2">
        <f>HYPERLINK("https://klasma.github.io/Logging_1275/tillsynsmail/S 1099-2024 tillsynsbegäran mail.docx", "S 1099-2024")</f>
        <v/>
      </c>
      <c r="AC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46220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s="2" t="inlineStr">
        <is>
          <t>Entita
Västlig hakmossa
Kungsfågel
Skogsödla
Vanlig padda</t>
        </is>
      </c>
      <c r="V3">
        <f>HYPERLINK("https://klasma.github.io/Logging_1275/artfynd/A 36700-2025 artfynd.xlsx", "A 36700-2025")</f>
        <v/>
      </c>
      <c r="W3">
        <f>HYPERLINK("https://klasma.github.io/Logging_1275/kartor/A 36700-2025 karta.png", "A 36700-2025")</f>
        <v/>
      </c>
      <c r="Y3">
        <f>HYPERLINK("https://klasma.github.io/Logging_1275/klagomål/A 36700-2025 FSC-klagomål.docx", "A 36700-2025")</f>
        <v/>
      </c>
      <c r="Z3">
        <f>HYPERLINK("https://klasma.github.io/Logging_1275/klagomålsmail/A 36700-2025 FSC-klagomål mail.docx", "A 36700-2025")</f>
        <v/>
      </c>
      <c r="AA3">
        <f>HYPERLINK("https://klasma.github.io/Logging_1275/tillsyn/A 36700-2025 tillsynsbegäran.docx", "A 36700-2025")</f>
        <v/>
      </c>
      <c r="AB3">
        <f>HYPERLINK("https://klasma.github.io/Logging_1275/tillsynsmail/A 36700-2025 tillsynsbegäran mail.docx", "A 36700-2025")</f>
        <v/>
      </c>
      <c r="AC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46220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Brandticka</t>
        </is>
      </c>
      <c r="V4">
        <f>HYPERLINK("https://klasma.github.io/Logging_1275/artfynd/A 46195-2022 artfynd.xlsx", "A 46195-2022")</f>
        <v/>
      </c>
      <c r="W4">
        <f>HYPERLINK("https://klasma.github.io/Logging_1275/kartor/A 46195-2022 karta.png", "A 46195-2022")</f>
        <v/>
      </c>
      <c r="Y4">
        <f>HYPERLINK("https://klasma.github.io/Logging_1275/klagomål/A 46195-2022 FSC-klagomål.docx", "A 46195-2022")</f>
        <v/>
      </c>
      <c r="Z4">
        <f>HYPERLINK("https://klasma.github.io/Logging_1275/klagomålsmail/A 46195-2022 FSC-klagomål mail.docx", "A 46195-2022")</f>
        <v/>
      </c>
      <c r="AA4">
        <f>HYPERLINK("https://klasma.github.io/Logging_1275/tillsyn/A 46195-2022 tillsynsbegäran.docx", "A 46195-2022")</f>
        <v/>
      </c>
      <c r="AB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46220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Spillkråka</t>
        </is>
      </c>
      <c r="V5">
        <f>HYPERLINK("https://klasma.github.io/Logging_1275/artfynd/A 4989-2022 artfynd.xlsx", "A 4989-2022")</f>
        <v/>
      </c>
      <c r="W5">
        <f>HYPERLINK("https://klasma.github.io/Logging_1275/kartor/A 4989-2022 karta.png", "A 4989-2022")</f>
        <v/>
      </c>
      <c r="Y5">
        <f>HYPERLINK("https://klasma.github.io/Logging_1275/klagomål/A 4989-2022 FSC-klagomål.docx", "A 4989-2022")</f>
        <v/>
      </c>
      <c r="Z5">
        <f>HYPERLINK("https://klasma.github.io/Logging_1275/klagomålsmail/A 4989-2022 FSC-klagomål mail.docx", "A 4989-2022")</f>
        <v/>
      </c>
      <c r="AA5">
        <f>HYPERLINK("https://klasma.github.io/Logging_1275/tillsyn/A 4989-2022 tillsynsbegäran.docx", "A 4989-2022")</f>
        <v/>
      </c>
      <c r="AB5">
        <f>HYPERLINK("https://klasma.github.io/Logging_1275/tillsynsmail/A 4989-2022 tillsynsbegäran mail.docx", "A 4989-2022")</f>
        <v/>
      </c>
      <c r="AC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46220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Mattlummer</t>
        </is>
      </c>
      <c r="V6">
        <f>HYPERLINK("https://klasma.github.io/Logging_1275/artfynd/A 145-2026 artfynd.xlsx", "A 145-2026")</f>
        <v/>
      </c>
      <c r="W6">
        <f>HYPERLINK("https://klasma.github.io/Logging_1275/kartor/A 145-2026 karta.png", "A 145-2026")</f>
        <v/>
      </c>
      <c r="Y6">
        <f>HYPERLINK("https://klasma.github.io/Logging_1275/klagomål/A 145-2026 FSC-klagomål.docx", "A 145-2026")</f>
        <v/>
      </c>
      <c r="Z6">
        <f>HYPERLINK("https://klasma.github.io/Logging_1275/klagomålsmail/A 145-2026 FSC-klagomål mail.docx", "A 145-2026")</f>
        <v/>
      </c>
      <c r="AA6">
        <f>HYPERLINK("https://klasma.github.io/Logging_1275/tillsyn/A 145-2026 tillsynsbegäran.docx", "A 145-2026")</f>
        <v/>
      </c>
      <c r="AB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46220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Enkelbeckasin</t>
        </is>
      </c>
      <c r="V7">
        <f>HYPERLINK("https://klasma.github.io/Logging_1275/artfynd/S 1268-2023 artfynd.xlsx", "S 1268-2023")</f>
        <v/>
      </c>
      <c r="W7">
        <f>HYPERLINK("https://klasma.github.io/Logging_1275/kartor/S 1268-2023 karta.png", "S 1268-2023")</f>
        <v/>
      </c>
      <c r="Y7">
        <f>HYPERLINK("https://klasma.github.io/Logging_1275/klagomål/S 1268-2023 FSC-klagomål.docx", "S 1268-2023")</f>
        <v/>
      </c>
      <c r="Z7">
        <f>HYPERLINK("https://klasma.github.io/Logging_1275/klagomålsmail/S 1268-2023 FSC-klagomål mail.docx", "S 1268-2023")</f>
        <v/>
      </c>
      <c r="AA7">
        <f>HYPERLINK("https://klasma.github.io/Logging_1275/tillsyn/S 1268-2023 tillsynsbegäran.docx", "S 1268-2023")</f>
        <v/>
      </c>
      <c r="AB7">
        <f>HYPERLINK("https://klasma.github.io/Logging_1275/tillsynsmail/S 1268-2023 tillsynsbegäran mail.docx", "S 1268-2023")</f>
        <v/>
      </c>
      <c r="AC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46220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Buskskvätta</t>
        </is>
      </c>
      <c r="V8">
        <f>HYPERLINK("https://klasma.github.io/Logging_1275/artfynd/S 2466-2025 artfynd.xlsx", "S 2466-2025")</f>
        <v/>
      </c>
      <c r="W8">
        <f>HYPERLINK("https://klasma.github.io/Logging_1275/kartor/S 2466-2025 karta.png", "S 2466-2025")</f>
        <v/>
      </c>
      <c r="Y8">
        <f>HYPERLINK("https://klasma.github.io/Logging_1275/klagomål/S 2466-2025 FSC-klagomål.docx", "S 2466-2025")</f>
        <v/>
      </c>
      <c r="Z8">
        <f>HYPERLINK("https://klasma.github.io/Logging_1275/klagomålsmail/S 2466-2025 FSC-klagomål mail.docx", "S 2466-2025")</f>
        <v/>
      </c>
      <c r="AA8">
        <f>HYPERLINK("https://klasma.github.io/Logging_1275/tillsyn/S 2466-2025 tillsynsbegäran.docx", "S 2466-2025")</f>
        <v/>
      </c>
      <c r="AB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46220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Tibast</t>
        </is>
      </c>
      <c r="V9">
        <f>HYPERLINK("https://klasma.github.io/Logging_1275/artfynd/S 1516-2026 artfynd.xlsx", "S 1516-2026")</f>
        <v/>
      </c>
      <c r="W9">
        <f>HYPERLINK("https://klasma.github.io/Logging_1275/kartor/S 1516-2026 karta.png", "S 1516-2026")</f>
        <v/>
      </c>
      <c r="Y9">
        <f>HYPERLINK("https://klasma.github.io/Logging_1275/klagomål/S 1516-2026 FSC-klagomål.docx", "S 1516-2026")</f>
        <v/>
      </c>
      <c r="Z9">
        <f>HYPERLINK("https://klasma.github.io/Logging_1275/klagomålsmail/S 1516-2026 FSC-klagomål mail.docx", "S 1516-2026")</f>
        <v/>
      </c>
      <c r="AA9">
        <f>HYPERLINK("https://klasma.github.io/Logging_1275/tillsyn/S 1516-2026 tillsynsbegäran.docx", "S 1516-2026")</f>
        <v/>
      </c>
      <c r="AB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46220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46220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46220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46220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46220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46220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46220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46220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46220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46220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46220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46220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46220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6948-2025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46220</v>
      </c>
      <c r="F23" t="inlineStr">
        <is>
          <t>SKÅNE LÄN</t>
        </is>
      </c>
      <c r="G23" t="inlineStr">
        <is>
          <t>PERSTORP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46220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46220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46220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46220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46220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46220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17321-2025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45756</v>
      </c>
      <c r="E30" s="1" t="n">
        <v>46220</v>
      </c>
      <c r="F30" t="inlineStr">
        <is>
          <t>SKÅNE LÄN</t>
        </is>
      </c>
      <c r="G30" t="inlineStr">
        <is>
          <t>PERSTORP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60504-2023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45259</v>
      </c>
      <c r="E31" s="1" t="n">
        <v>46220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12182-2022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44636</v>
      </c>
      <c r="E32" s="1" t="n">
        <v>46220</v>
      </c>
      <c r="F32" t="inlineStr">
        <is>
          <t>SKÅNE LÄN</t>
        </is>
      </c>
      <c r="G32" t="inlineStr">
        <is>
          <t>PERSTORP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1538-2026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46220</v>
      </c>
      <c r="F33" t="inlineStr">
        <is>
          <t>SKÅNE LÄN</t>
        </is>
      </c>
      <c r="G33" t="inlineStr">
        <is>
          <t>PERSTORP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62293-2022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44923</v>
      </c>
      <c r="E34" s="1" t="n">
        <v>46220</v>
      </c>
      <c r="F34" t="inlineStr">
        <is>
          <t>SKÅNE LÄN</t>
        </is>
      </c>
      <c r="G34" t="inlineStr">
        <is>
          <t>PERSTORP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46220</v>
      </c>
      <c r="F35" t="inlineStr">
        <is>
          <t>SKÅNE LÄN</t>
        </is>
      </c>
      <c r="G35" t="inlineStr">
        <is>
          <t>PERSTORP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37890-2024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45544</v>
      </c>
      <c r="E36" s="1" t="n">
        <v>46220</v>
      </c>
      <c r="F36" t="inlineStr">
        <is>
          <t>SKÅNE LÄN</t>
        </is>
      </c>
      <c r="G36" t="inlineStr">
        <is>
          <t>PERSTORP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30063-2025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45826</v>
      </c>
      <c r="E37" s="1" t="n">
        <v>46220</v>
      </c>
      <c r="F37" t="inlineStr">
        <is>
          <t>SKÅNE LÄN</t>
        </is>
      </c>
      <c r="G37" t="inlineStr">
        <is>
          <t>PERSTORP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46220</v>
      </c>
      <c r="F38" t="inlineStr">
        <is>
          <t>SKÅNE LÄN</t>
        </is>
      </c>
      <c r="G38" t="inlineStr">
        <is>
          <t>PERSTORP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12912-2025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46220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2015-2023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44939</v>
      </c>
      <c r="E40" s="1" t="n">
        <v>46220</v>
      </c>
      <c r="F40" t="inlineStr">
        <is>
          <t>SKÅNE LÄN</t>
        </is>
      </c>
      <c r="G40" t="inlineStr">
        <is>
          <t>PERSTORP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60501-2023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46220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60506-2023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46220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45583</v>
      </c>
      <c r="E43" s="1" t="n">
        <v>46220</v>
      </c>
      <c r="F43" t="inlineStr">
        <is>
          <t>SKÅNE LÄN</t>
        </is>
      </c>
      <c r="G43" t="inlineStr">
        <is>
          <t>PERSTORP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51207-2022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46220</v>
      </c>
      <c r="F44" t="inlineStr">
        <is>
          <t>SKÅNE LÄN</t>
        </is>
      </c>
      <c r="G44" t="inlineStr">
        <is>
          <t>PERSTORP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3661-2026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46220</v>
      </c>
      <c r="F45" t="inlineStr">
        <is>
          <t>SKÅNE LÄN</t>
        </is>
      </c>
      <c r="G45" t="inlineStr">
        <is>
          <t>PERSTORP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28751-2024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45478</v>
      </c>
      <c r="E46" s="1" t="n">
        <v>46220</v>
      </c>
      <c r="F46" t="inlineStr">
        <is>
          <t>SKÅNE LÄN</t>
        </is>
      </c>
      <c r="G46" t="inlineStr">
        <is>
          <t>PERSTORP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52315-2024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45608</v>
      </c>
      <c r="E47" s="1" t="n">
        <v>46220</v>
      </c>
      <c r="F47" t="inlineStr">
        <is>
          <t>SKÅNE LÄN</t>
        </is>
      </c>
      <c r="G47" t="inlineStr">
        <is>
          <t>PERSTORP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29867-2023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46220</v>
      </c>
      <c r="F48" t="inlineStr">
        <is>
          <t>SKÅNE LÄN</t>
        </is>
      </c>
      <c r="G48" t="inlineStr">
        <is>
          <t>PERSTORP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60498-2023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45259</v>
      </c>
      <c r="E49" s="1" t="n">
        <v>46220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44945</v>
      </c>
      <c r="E50" s="1" t="n">
        <v>46220</v>
      </c>
      <c r="F50" t="inlineStr">
        <is>
          <t>SKÅNE LÄN</t>
        </is>
      </c>
      <c r="G50" t="inlineStr">
        <is>
          <t>PERSTORP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55416-2022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46220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45702</v>
      </c>
      <c r="E52" s="1" t="n">
        <v>46220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55410-2022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46220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46220</v>
      </c>
      <c r="F54" t="inlineStr">
        <is>
          <t>SKÅNE LÄN</t>
        </is>
      </c>
      <c r="G54" t="inlineStr">
        <is>
          <t>PERSTORP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8704-2024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45356</v>
      </c>
      <c r="E55" s="1" t="n">
        <v>46220</v>
      </c>
      <c r="F55" t="inlineStr">
        <is>
          <t>SKÅNE LÄN</t>
        </is>
      </c>
      <c r="G55" t="inlineStr">
        <is>
          <t>PERSTORP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57771-2025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45981</v>
      </c>
      <c r="E56" s="1" t="n">
        <v>46220</v>
      </c>
      <c r="F56" t="inlineStr">
        <is>
          <t>SKÅNE LÄN</t>
        </is>
      </c>
      <c r="G56" t="inlineStr">
        <is>
          <t>PERSTORP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23785-2023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46220</v>
      </c>
      <c r="F57" t="inlineStr">
        <is>
          <t>SKÅNE LÄN</t>
        </is>
      </c>
      <c r="G57" t="inlineStr">
        <is>
          <t>PERSTORP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7043-2025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46220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11720-2024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46220</v>
      </c>
      <c r="F59" t="inlineStr">
        <is>
          <t>SKÅNE LÄN</t>
        </is>
      </c>
      <c r="G59" t="inlineStr">
        <is>
          <t>PERSTORP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67669-2021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46220</v>
      </c>
      <c r="F60" t="inlineStr">
        <is>
          <t>SKÅNE LÄN</t>
        </is>
      </c>
      <c r="G60" t="inlineStr">
        <is>
          <t>PERSTORP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38324-2023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46220</v>
      </c>
      <c r="F61" t="inlineStr">
        <is>
          <t>SKÅNE LÄN</t>
        </is>
      </c>
      <c r="G61" t="inlineStr">
        <is>
          <t>PERSTORP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53586-2022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46220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8565-2023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46220</v>
      </c>
      <c r="F63" t="inlineStr">
        <is>
          <t>SKÅNE LÄN</t>
        </is>
      </c>
      <c r="G63" t="inlineStr">
        <is>
          <t>PERSTORP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46220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13818-2026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46220</v>
      </c>
      <c r="F65" t="inlineStr">
        <is>
          <t>SKÅNE LÄN</t>
        </is>
      </c>
      <c r="G65" t="inlineStr">
        <is>
          <t>PERSTORP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46220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9368-2023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46220</v>
      </c>
      <c r="F67" t="inlineStr">
        <is>
          <t>SKÅNE LÄN</t>
        </is>
      </c>
      <c r="G67" t="inlineStr">
        <is>
          <t>PERSTORP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18947-2026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46127</v>
      </c>
      <c r="E68" s="1" t="n">
        <v>46220</v>
      </c>
      <c r="F68" t="inlineStr">
        <is>
          <t>SKÅNE LÄN</t>
        </is>
      </c>
      <c r="G68" t="inlineStr">
        <is>
          <t>PERSTORP</t>
        </is>
      </c>
      <c r="H68" t="inlineStr">
        <is>
          <t>Kyrkan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44592</v>
      </c>
      <c r="E69" s="1" t="n">
        <v>46220</v>
      </c>
      <c r="F69" t="inlineStr">
        <is>
          <t>SKÅNE LÄN</t>
        </is>
      </c>
      <c r="G69" t="inlineStr">
        <is>
          <t>PERSTORP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46220</v>
      </c>
      <c r="F70" t="inlineStr">
        <is>
          <t>SKÅNE LÄN</t>
        </is>
      </c>
      <c r="G70" t="inlineStr">
        <is>
          <t>PERSTORP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38329-2023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45161</v>
      </c>
      <c r="E71" s="1" t="n">
        <v>46220</v>
      </c>
      <c r="F71" t="inlineStr">
        <is>
          <t>SKÅNE LÄN</t>
        </is>
      </c>
      <c r="G71" t="inlineStr">
        <is>
          <t>PERSTORP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8741-2024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46220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42435-2024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45565</v>
      </c>
      <c r="E73" s="1" t="n">
        <v>46220</v>
      </c>
      <c r="F73" t="inlineStr">
        <is>
          <t>SKÅNE LÄN</t>
        </is>
      </c>
      <c r="G73" t="inlineStr">
        <is>
          <t>PERSTORP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13267-2023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45003</v>
      </c>
      <c r="E74" s="1" t="n">
        <v>46220</v>
      </c>
      <c r="F74" t="inlineStr">
        <is>
          <t>SKÅNE LÄN</t>
        </is>
      </c>
      <c r="G74" t="inlineStr">
        <is>
          <t>PERSTORP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28097-2025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46220</v>
      </c>
      <c r="F75" t="inlineStr">
        <is>
          <t>SKÅNE LÄN</t>
        </is>
      </c>
      <c r="G75" t="inlineStr">
        <is>
          <t>PERSTORP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47289-2025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45930</v>
      </c>
      <c r="E76" s="1" t="n">
        <v>46220</v>
      </c>
      <c r="F76" t="inlineStr">
        <is>
          <t>SKÅNE LÄN</t>
        </is>
      </c>
      <c r="G76" t="inlineStr">
        <is>
          <t>PERSTORP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25867-2026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46220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21208-2023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46220</v>
      </c>
      <c r="F78" t="inlineStr">
        <is>
          <t>SKÅNE LÄN</t>
        </is>
      </c>
      <c r="G78" t="inlineStr">
        <is>
          <t>PERSTORP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35194-2023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46220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45302</v>
      </c>
      <c r="E80" s="1" t="n">
        <v>46220</v>
      </c>
      <c r="F80" t="inlineStr">
        <is>
          <t>SKÅNE LÄN</t>
        </is>
      </c>
      <c r="G80" t="inlineStr">
        <is>
          <t>PERSTORP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11669-2023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44992</v>
      </c>
      <c r="E81" s="1" t="n">
        <v>46220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52617-2023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46220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27465-2026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46220</v>
      </c>
      <c r="F83" t="inlineStr">
        <is>
          <t>SKÅNE LÄN</t>
        </is>
      </c>
      <c r="G83" t="inlineStr">
        <is>
          <t>PERSTORP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38328-2023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45161</v>
      </c>
      <c r="E84" s="1" t="n">
        <v>46220</v>
      </c>
      <c r="F84" t="inlineStr">
        <is>
          <t>SKÅNE LÄN</t>
        </is>
      </c>
      <c r="G84" t="inlineStr">
        <is>
          <t>PERSTORP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21733-2026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46149</v>
      </c>
      <c r="E85" s="1" t="n">
        <v>46220</v>
      </c>
      <c r="F85" t="inlineStr">
        <is>
          <t>SKÅNE LÄN</t>
        </is>
      </c>
      <c r="G85" t="inlineStr">
        <is>
          <t>PERSTORP</t>
        </is>
      </c>
      <c r="I85" t="n">
        <v>16.7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54647-2023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45235</v>
      </c>
      <c r="E86" s="1" t="n">
        <v>46220</v>
      </c>
      <c r="F86" t="inlineStr">
        <is>
          <t>SKÅNE LÄN</t>
        </is>
      </c>
      <c r="G86" t="inlineStr">
        <is>
          <t>PERSTORP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45106</v>
      </c>
      <c r="E87" s="1" t="n">
        <v>46220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16331-2025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46220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46200-2022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46220</v>
      </c>
      <c r="F89" t="inlineStr">
        <is>
          <t>SKÅNE LÄN</t>
        </is>
      </c>
      <c r="G89" t="inlineStr">
        <is>
          <t>PERSTORP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46220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62296-2022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46220</v>
      </c>
      <c r="F91" t="inlineStr">
        <is>
          <t>SKÅNE LÄN</t>
        </is>
      </c>
      <c r="G91" t="inlineStr">
        <is>
          <t>PERSTORP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29874-2023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46220</v>
      </c>
      <c r="F92" t="inlineStr">
        <is>
          <t>SKÅNE LÄN</t>
        </is>
      </c>
      <c r="G92" t="inlineStr">
        <is>
          <t>PERSTORP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52575-2023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46220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52583-2023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46220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38936-2023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46220</v>
      </c>
      <c r="F95" t="inlineStr">
        <is>
          <t>SKÅNE LÄN</t>
        </is>
      </c>
      <c r="G95" t="inlineStr">
        <is>
          <t>PERSTORP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23874-2026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46167</v>
      </c>
      <c r="E96" s="1" t="n">
        <v>46220</v>
      </c>
      <c r="F96" t="inlineStr">
        <is>
          <t>SKÅNE LÄN</t>
        </is>
      </c>
      <c r="G96" t="inlineStr">
        <is>
          <t>PERSTORP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46220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7510-2025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46220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25487-2026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46220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28247-2022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46220</v>
      </c>
      <c r="F100" t="inlineStr">
        <is>
          <t>SKÅNE LÄN</t>
        </is>
      </c>
      <c r="G100" t="inlineStr">
        <is>
          <t>PERSTORP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11701-2023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46220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14473-2024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45394</v>
      </c>
      <c r="E102" s="1" t="n">
        <v>46220</v>
      </c>
      <c r="F102" t="inlineStr">
        <is>
          <t>SKÅNE LÄN</t>
        </is>
      </c>
      <c r="G102" t="inlineStr">
        <is>
          <t>PERSTORP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47258-2021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44446</v>
      </c>
      <c r="E103" s="1" t="n">
        <v>46220</v>
      </c>
      <c r="F103" t="inlineStr">
        <is>
          <t>SKÅNE LÄN</t>
        </is>
      </c>
      <c r="G103" t="inlineStr">
        <is>
          <t>PERSTORP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61859-2023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46220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32201-2024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46220</v>
      </c>
      <c r="F105" t="inlineStr">
        <is>
          <t>SKÅNE LÄN</t>
        </is>
      </c>
      <c r="G105" t="inlineStr">
        <is>
          <t>PERSTORP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54095-2022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46220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982-2025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45666</v>
      </c>
      <c r="E107" s="1" t="n">
        <v>46220</v>
      </c>
      <c r="F107" t="inlineStr">
        <is>
          <t>SKÅNE LÄN</t>
        </is>
      </c>
      <c r="G107" t="inlineStr">
        <is>
          <t>PERSTORP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46220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46220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46220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46220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46220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46220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46220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46220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46220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46220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46220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46220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46220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46220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46220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46220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46220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46220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46220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46220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46220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46220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46220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46220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46220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46220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46220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46220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46220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46220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46220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46220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46220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46220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46220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46220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46220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2026-07-17T01:45:46Z</dcterms:created>
  <dcterms:modified xmlns:dcterms="http://purl.org/dc/terms/" xmlns:xsi="http://www.w3.org/2001/XMLSchema-instance" xsi:type="dcterms:W3CDTF">2026-07-17T01:45:47Z</dcterms:modified>
</cp:coreProperties>
</file>