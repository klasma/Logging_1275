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X2">
        <f>HYPERLINK("https://klasma.github.io/Logging_1275/kartor_geotiff/S 1099-2024 georefererad karta.tif", "S 1099-2024")</f>
        <v/>
      </c>
      <c r="Z2">
        <f>HYPERLINK("https://klasma.github.io/Logging_1275/klagomål/S 1099-2024 FSC-klagomål.docx", "S 1099-2024")</f>
        <v/>
      </c>
      <c r="AA2">
        <f>HYPERLINK("https://klasma.github.io/Logging_1275/klagomålsmail/S 1099-2024 FSC-klagomål mail.docx", "S 1099-2024")</f>
        <v/>
      </c>
      <c r="AB2">
        <f>HYPERLINK("https://klasma.github.io/Logging_1275/tillsyn/S 1099-2024 tillsynsbegäran.docx", "S 1099-2024")</f>
        <v/>
      </c>
      <c r="AC2">
        <f>HYPERLINK("https://klasma.github.io/Logging_1275/tillsynsmail/S 1099-2024 tillsynsbegäran mail.docx", "S 1099-2024")</f>
        <v/>
      </c>
      <c r="AD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X3">
        <f>HYPERLINK("https://klasma.github.io/Logging_1275/kartor_geotiff/A 36700-2025 georefererad karta.tif", "A 36700-2025")</f>
        <v/>
      </c>
      <c r="Z3">
        <f>HYPERLINK("https://klasma.github.io/Logging_1275/klagomål/A 36700-2025 FSC-klagomål.docx", "A 36700-2025")</f>
        <v/>
      </c>
      <c r="AA3">
        <f>HYPERLINK("https://klasma.github.io/Logging_1275/klagomålsmail/A 36700-2025 FSC-klagomål mail.docx", "A 36700-2025")</f>
        <v/>
      </c>
      <c r="AB3">
        <f>HYPERLINK("https://klasma.github.io/Logging_1275/tillsyn/A 36700-2025 tillsynsbegäran.docx", "A 36700-2025")</f>
        <v/>
      </c>
      <c r="AC3">
        <f>HYPERLINK("https://klasma.github.io/Logging_1275/tillsynsmail/A 36700-2025 tillsynsbegäran mail.docx", "A 36700-2025")</f>
        <v/>
      </c>
      <c r="AD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X4">
        <f>HYPERLINK("https://klasma.github.io/Logging_1275/kartor_geotiff/A 46195-2022 georefererad karta.tif", "A 46195-2022")</f>
        <v/>
      </c>
      <c r="Z4">
        <f>HYPERLINK("https://klasma.github.io/Logging_1275/klagomål/A 46195-2022 FSC-klagomål.docx", "A 46195-2022")</f>
        <v/>
      </c>
      <c r="AA4">
        <f>HYPERLINK("https://klasma.github.io/Logging_1275/klagomålsmail/A 46195-2022 FSC-klagomål mail.docx", "A 46195-2022")</f>
        <v/>
      </c>
      <c r="AB4">
        <f>HYPERLINK("https://klasma.github.io/Logging_1275/tillsyn/A 46195-2022 tillsynsbegäran.docx", "A 46195-2022")</f>
        <v/>
      </c>
      <c r="AC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X5">
        <f>HYPERLINK("https://klasma.github.io/Logging_1275/kartor_geotiff/A 4989-2022 georefererad karta.tif", "A 4989-2022")</f>
        <v/>
      </c>
      <c r="Z5">
        <f>HYPERLINK("https://klasma.github.io/Logging_1275/klagomål/A 4989-2022 FSC-klagomål.docx", "A 4989-2022")</f>
        <v/>
      </c>
      <c r="AA5">
        <f>HYPERLINK("https://klasma.github.io/Logging_1275/klagomålsmail/A 4989-2022 FSC-klagomål mail.docx", "A 4989-2022")</f>
        <v/>
      </c>
      <c r="AB5">
        <f>HYPERLINK("https://klasma.github.io/Logging_1275/tillsyn/A 4989-2022 tillsynsbegäran.docx", "A 4989-2022")</f>
        <v/>
      </c>
      <c r="AC5">
        <f>HYPERLINK("https://klasma.github.io/Logging_1275/tillsynsmail/A 4989-2022 tillsynsbegäran mail.docx", "A 4989-2022")</f>
        <v/>
      </c>
      <c r="AD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X6">
        <f>HYPERLINK("https://klasma.github.io/Logging_1275/kartor_geotiff/A 145-2026 georefererad karta.tif", "A 145-2026")</f>
        <v/>
      </c>
      <c r="Z6">
        <f>HYPERLINK("https://klasma.github.io/Logging_1275/klagomål/A 145-2026 FSC-klagomål.docx", "A 145-2026")</f>
        <v/>
      </c>
      <c r="AA6">
        <f>HYPERLINK("https://klasma.github.io/Logging_1275/klagomålsmail/A 145-2026 FSC-klagomål mail.docx", "A 145-2026")</f>
        <v/>
      </c>
      <c r="AB6">
        <f>HYPERLINK("https://klasma.github.io/Logging_1275/tillsyn/A 145-2026 tillsynsbegäran.docx", "A 145-2026")</f>
        <v/>
      </c>
      <c r="AC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X7">
        <f>HYPERLINK("https://klasma.github.io/Logging_1275/kartor_geotiff/S 1268-2023 georefererad karta.tif", "S 1268-2023")</f>
        <v/>
      </c>
      <c r="Z7">
        <f>HYPERLINK("https://klasma.github.io/Logging_1275/klagomål/S 1268-2023 FSC-klagomål.docx", "S 1268-2023")</f>
        <v/>
      </c>
      <c r="AA7">
        <f>HYPERLINK("https://klasma.github.io/Logging_1275/klagomålsmail/S 1268-2023 FSC-klagomål mail.docx", "S 1268-2023")</f>
        <v/>
      </c>
      <c r="AB7">
        <f>HYPERLINK("https://klasma.github.io/Logging_1275/tillsyn/S 1268-2023 tillsynsbegäran.docx", "S 1268-2023")</f>
        <v/>
      </c>
      <c r="AC7">
        <f>HYPERLINK("https://klasma.github.io/Logging_1275/tillsynsmail/S 1268-2023 tillsynsbegäran mail.docx", "S 1268-2023")</f>
        <v/>
      </c>
      <c r="AD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X8">
        <f>HYPERLINK("https://klasma.github.io/Logging_1275/kartor_geotiff/S 2466-2025 georefererad karta.tif", "S 2466-2025")</f>
        <v/>
      </c>
      <c r="Z8">
        <f>HYPERLINK("https://klasma.github.io/Logging_1275/klagomål/S 2466-2025 FSC-klagomål.docx", "S 2466-2025")</f>
        <v/>
      </c>
      <c r="AA8">
        <f>HYPERLINK("https://klasma.github.io/Logging_1275/klagomålsmail/S 2466-2025 FSC-klagomål mail.docx", "S 2466-2025")</f>
        <v/>
      </c>
      <c r="AB8">
        <f>HYPERLINK("https://klasma.github.io/Logging_1275/tillsyn/S 2466-2025 tillsynsbegäran.docx", "S 2466-2025")</f>
        <v/>
      </c>
      <c r="AC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X9">
        <f>HYPERLINK("https://klasma.github.io/Logging_1275/kartor_geotiff/S 1516-2026 georefererad karta.tif", "S 1516-2026")</f>
        <v/>
      </c>
      <c r="Z9">
        <f>HYPERLINK("https://klasma.github.io/Logging_1275/klagomål/S 1516-2026 FSC-klagomål.docx", "S 1516-2026")</f>
        <v/>
      </c>
      <c r="AA9">
        <f>HYPERLINK("https://klasma.github.io/Logging_1275/klagomålsmail/S 1516-2026 FSC-klagomål mail.docx", "S 1516-2026")</f>
        <v/>
      </c>
      <c r="AB9">
        <f>HYPERLINK("https://klasma.github.io/Logging_1275/tillsyn/S 1516-2026 tillsynsbegäran.docx", "S 1516-2026")</f>
        <v/>
      </c>
      <c r="AC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46223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46223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46223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46223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46223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46223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46223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46223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46223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46223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46223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46223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46223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46223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46223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46223</v>
      </c>
      <c r="F25" t="inlineStr">
        <is>
          <t>SKÅNE LÄN</t>
        </is>
      </c>
      <c r="G25" t="inlineStr">
        <is>
          <t>PERSTORP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2015-2023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44939</v>
      </c>
      <c r="E26" s="1" t="n">
        <v>46223</v>
      </c>
      <c r="F26" t="inlineStr">
        <is>
          <t>SKÅNE LÄN</t>
        </is>
      </c>
      <c r="G26" t="inlineStr">
        <is>
          <t>PERSTORP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12182-2022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46223</v>
      </c>
      <c r="F27" t="inlineStr">
        <is>
          <t>SKÅNE LÄN</t>
        </is>
      </c>
      <c r="G27" t="inlineStr">
        <is>
          <t>PERSTORP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46223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60501-2023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46223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45826</v>
      </c>
      <c r="E30" s="1" t="n">
        <v>46223</v>
      </c>
      <c r="F30" t="inlineStr">
        <is>
          <t>SKÅNE LÄN</t>
        </is>
      </c>
      <c r="G30" t="inlineStr">
        <is>
          <t>PERSTORP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46223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46223</v>
      </c>
      <c r="F32" t="inlineStr">
        <is>
          <t>SKÅNE LÄN</t>
        </is>
      </c>
      <c r="G32" t="inlineStr">
        <is>
          <t>PERSTORP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45608</v>
      </c>
      <c r="E33" s="1" t="n">
        <v>46223</v>
      </c>
      <c r="F33" t="inlineStr">
        <is>
          <t>SKÅNE LÄN</t>
        </is>
      </c>
      <c r="G33" t="inlineStr">
        <is>
          <t>PERSTORP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46223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46223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46223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57771-2025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45981</v>
      </c>
      <c r="E37" s="1" t="n">
        <v>46223</v>
      </c>
      <c r="F37" t="inlineStr">
        <is>
          <t>SKÅNE LÄN</t>
        </is>
      </c>
      <c r="G37" t="inlineStr">
        <is>
          <t>PERSTORP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46223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46223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46098</v>
      </c>
      <c r="E40" s="1" t="n">
        <v>46223</v>
      </c>
      <c r="F40" t="inlineStr">
        <is>
          <t>SKÅNE LÄN</t>
        </is>
      </c>
      <c r="G40" t="inlineStr">
        <is>
          <t>PERSTORP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16337-2025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46223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46223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46223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46223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46223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46223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46223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46223</v>
      </c>
      <c r="F48" t="inlineStr">
        <is>
          <t>SKÅNE LÄN</t>
        </is>
      </c>
      <c r="G48" t="inlineStr">
        <is>
          <t>PERSTORP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46223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46223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52740-2024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46223</v>
      </c>
      <c r="F51" t="inlineStr">
        <is>
          <t>SKÅNE LÄN</t>
        </is>
      </c>
      <c r="G51" t="inlineStr">
        <is>
          <t>PERSTORP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46223</v>
      </c>
      <c r="F52" t="inlineStr">
        <is>
          <t>SKÅNE LÄN</t>
        </is>
      </c>
      <c r="G52" t="inlineStr">
        <is>
          <t>PERSTORP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46223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18947-2026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46223</v>
      </c>
      <c r="F54" t="inlineStr">
        <is>
          <t>SKÅNE LÄN</t>
        </is>
      </c>
      <c r="G54" t="inlineStr">
        <is>
          <t>PERSTORP</t>
        </is>
      </c>
      <c r="H54" t="inlineStr">
        <is>
          <t>Kyrkan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46223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46223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46223</v>
      </c>
      <c r="F57" t="inlineStr">
        <is>
          <t>SKÅNE LÄN</t>
        </is>
      </c>
      <c r="G57" t="inlineStr">
        <is>
          <t>PERSTORP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46223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13267-2023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45003</v>
      </c>
      <c r="E59" s="1" t="n">
        <v>46223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28751-2024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46223</v>
      </c>
      <c r="F60" t="inlineStr">
        <is>
          <t>SKÅNE LÄN</t>
        </is>
      </c>
      <c r="G60" t="inlineStr">
        <is>
          <t>PERSTORP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47289-2025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46223</v>
      </c>
      <c r="F61" t="inlineStr">
        <is>
          <t>SKÅNE LÄN</t>
        </is>
      </c>
      <c r="G61" t="inlineStr">
        <is>
          <t>PERSTORP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46223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46223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46223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46223</v>
      </c>
      <c r="F65" t="inlineStr">
        <is>
          <t>SKÅNE LÄN</t>
        </is>
      </c>
      <c r="G65" t="inlineStr">
        <is>
          <t>PERSTORP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28097-2025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46223</v>
      </c>
      <c r="F66" t="inlineStr">
        <is>
          <t>SKÅNE LÄN</t>
        </is>
      </c>
      <c r="G66" t="inlineStr">
        <is>
          <t>PERSTORP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46223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46223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55410-2022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46223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46223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38936-2023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46223</v>
      </c>
      <c r="F71" t="inlineStr">
        <is>
          <t>SKÅNE LÄN</t>
        </is>
      </c>
      <c r="G71" t="inlineStr">
        <is>
          <t>PERSTORP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46189</v>
      </c>
      <c r="E72" s="1" t="n">
        <v>46223</v>
      </c>
      <c r="F72" t="inlineStr">
        <is>
          <t>SKÅNE LÄN</t>
        </is>
      </c>
      <c r="G72" t="inlineStr">
        <is>
          <t>PERSTORP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46223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46223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21733-2026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46223</v>
      </c>
      <c r="F75" t="inlineStr">
        <is>
          <t>SKÅNE LÄN</t>
        </is>
      </c>
      <c r="G75" t="inlineStr">
        <is>
          <t>PERSTORP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46223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46223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10941-2024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46223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46223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46223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46223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46223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46223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60506-2023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45259</v>
      </c>
      <c r="E84" s="1" t="n">
        <v>46223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46223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46223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46223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67669-2021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46223</v>
      </c>
      <c r="F88" t="inlineStr">
        <is>
          <t>SKÅNE LÄN</t>
        </is>
      </c>
      <c r="G88" t="inlineStr">
        <is>
          <t>PERSTORP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53875-2023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46223</v>
      </c>
      <c r="F89" t="inlineStr">
        <is>
          <t>SKÅNE LÄN</t>
        </is>
      </c>
      <c r="G89" t="inlineStr">
        <is>
          <t>PERSTORP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23786-2023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46223</v>
      </c>
      <c r="F90" t="inlineStr">
        <is>
          <t>SKÅNE LÄN</t>
        </is>
      </c>
      <c r="G90" t="inlineStr">
        <is>
          <t>PERSTORP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46223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46223</v>
      </c>
      <c r="F92" t="inlineStr">
        <is>
          <t>SKÅNE LÄN</t>
        </is>
      </c>
      <c r="G92" t="inlineStr">
        <is>
          <t>PERSTORP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10742-2024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46223</v>
      </c>
      <c r="F93" t="inlineStr">
        <is>
          <t>SKÅNE LÄN</t>
        </is>
      </c>
      <c r="G93" t="inlineStr">
        <is>
          <t>PERSTORP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46223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11720-2024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46223</v>
      </c>
      <c r="F95" t="inlineStr">
        <is>
          <t>SKÅNE LÄN</t>
        </is>
      </c>
      <c r="G95" t="inlineStr">
        <is>
          <t>PERSTORP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7509-2025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46223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46223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25487-2026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46223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46223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46223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46223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46223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46223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46223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46223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46223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46223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46223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46223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46223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46223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46223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46223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46223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46223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46223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46223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46223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46223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46223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46223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46223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46223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46223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46223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46223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46223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46223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46223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46223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46223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46223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46223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46223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46223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46223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46223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46223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46223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2026-07-20T01:47:10Z</dcterms:created>
  <dcterms:modified xmlns:dcterms="http://purl.org/dc/terms/" xmlns:xsi="http://www.w3.org/2001/XMLSchema-instance" xsi:type="dcterms:W3CDTF">2026-07-20T01:47:10Z</dcterms:modified>
</cp:coreProperties>
</file>