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46216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46216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46216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46216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34907-2025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45849</v>
      </c>
      <c r="E6" s="1" t="n">
        <v>46216</v>
      </c>
      <c r="F6" t="inlineStr">
        <is>
          <t>SKÅNE LÄN</t>
        </is>
      </c>
      <c r="G6" t="inlineStr">
        <is>
          <t>PERSTORP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Ask</t>
        </is>
      </c>
      <c r="V6">
        <f>HYPERLINK("https://klasma.github.io/Logging_1275/artfynd/A 34907-2025 artfynd.xlsx", "A 34907-2025")</f>
        <v/>
      </c>
      <c r="W6">
        <f>HYPERLINK("https://klasma.github.io/Logging_1275/kartor/A 34907-2025 karta.png", "A 34907-2025")</f>
        <v/>
      </c>
      <c r="Y6">
        <f>HYPERLINK("https://klasma.github.io/Logging_1275/klagomål/A 34907-2025 FSC-klagomål.docx", "A 34907-2025")</f>
        <v/>
      </c>
      <c r="Z6">
        <f>HYPERLINK("https://klasma.github.io/Logging_1275/klagomålsmail/A 34907-2025 FSC-klagomål mail.docx", "A 34907-2025")</f>
        <v/>
      </c>
      <c r="AA6">
        <f>HYPERLINK("https://klasma.github.io/Logging_1275/tillsyn/A 34907-2025 tillsynsbegäran.docx", "A 34907-2025")</f>
        <v/>
      </c>
      <c r="AB6">
        <f>HYPERLINK("https://klasma.github.io/Logging_1275/tillsynsmail/A 34907-2025 tillsynsbegäran mail.docx", "A 34907-2025")</f>
        <v/>
      </c>
    </row>
    <row r="7" ht="15" customHeight="1">
      <c r="A7" t="inlineStr">
        <is>
          <t>A 145-2026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46020</v>
      </c>
      <c r="E7" s="1" t="n">
        <v>46216</v>
      </c>
      <c r="F7" t="inlineStr">
        <is>
          <t>SKÅNE LÄN</t>
        </is>
      </c>
      <c r="G7" t="inlineStr">
        <is>
          <t>PERSTORP</t>
        </is>
      </c>
      <c r="I7" t="n">
        <v>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s="2" t="inlineStr">
        <is>
          <t>Mattlummer</t>
        </is>
      </c>
      <c r="V7">
        <f>HYPERLINK("https://klasma.github.io/Logging_1275/artfynd/A 145-2026 artfynd.xlsx", "A 145-2026")</f>
        <v/>
      </c>
      <c r="W7">
        <f>HYPERLINK("https://klasma.github.io/Logging_1275/kartor/A 145-2026 karta.png", "A 145-2026")</f>
        <v/>
      </c>
      <c r="Y7">
        <f>HYPERLINK("https://klasma.github.io/Logging_1275/klagomål/A 145-2026 FSC-klagomål.docx", "A 145-2026")</f>
        <v/>
      </c>
      <c r="Z7">
        <f>HYPERLINK("https://klasma.github.io/Logging_1275/klagomålsmail/A 145-2026 FSC-klagomål mail.docx", "A 145-2026")</f>
        <v/>
      </c>
      <c r="AA7">
        <f>HYPERLINK("https://klasma.github.io/Logging_1275/tillsyn/A 145-2026 tillsynsbegäran.docx", "A 145-2026")</f>
        <v/>
      </c>
      <c r="AB7">
        <f>HYPERLINK("https://klasma.github.io/Logging_1275/tillsynsmail/A 145-2026 tillsynsbegäran mail.docx", "A 145-2026")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46216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Enkelbeckasin</t>
        </is>
      </c>
      <c r="V8">
        <f>HYPERLINK("https://klasma.github.io/Logging_1275/artfynd/S 1268-2023 artfynd.xlsx", "S 1268-2023")</f>
        <v/>
      </c>
      <c r="W8">
        <f>HYPERLINK("https://klasma.github.io/Logging_1275/kartor/S 1268-2023 karta.png", "S 1268-2023")</f>
        <v/>
      </c>
      <c r="Y8">
        <f>HYPERLINK("https://klasma.github.io/Logging_1275/klagomål/S 1268-2023 FSC-klagomål.docx", "S 1268-2023")</f>
        <v/>
      </c>
      <c r="Z8">
        <f>HYPERLINK("https://klasma.github.io/Logging_1275/klagomålsmail/S 1268-2023 FSC-klagomål mail.docx", "S 1268-2023")</f>
        <v/>
      </c>
      <c r="AA8">
        <f>HYPERLINK("https://klasma.github.io/Logging_1275/tillsyn/S 1268-2023 tillsynsbegäran.docx", "S 1268-2023")</f>
        <v/>
      </c>
      <c r="AB8">
        <f>HYPERLINK("https://klasma.github.io/Logging_1275/tillsynsmail/S 1268-2023 tillsynsbegäran mail.docx", "S 1268-2023")</f>
        <v/>
      </c>
      <c r="AC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46216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Buskskvätta</t>
        </is>
      </c>
      <c r="V9">
        <f>HYPERLINK("https://klasma.github.io/Logging_1275/artfynd/S 2466-2025 artfynd.xlsx", "S 2466-2025")</f>
        <v/>
      </c>
      <c r="W9">
        <f>HYPERLINK("https://klasma.github.io/Logging_1275/kartor/S 2466-2025 karta.png", "S 2466-2025")</f>
        <v/>
      </c>
      <c r="Y9">
        <f>HYPERLINK("https://klasma.github.io/Logging_1275/klagomål/S 2466-2025 FSC-klagomål.docx", "S 2466-2025")</f>
        <v/>
      </c>
      <c r="Z9">
        <f>HYPERLINK("https://klasma.github.io/Logging_1275/klagomålsmail/S 2466-2025 FSC-klagomål mail.docx", "S 2466-2025")</f>
        <v/>
      </c>
      <c r="AA9">
        <f>HYPERLINK("https://klasma.github.io/Logging_1275/tillsyn/S 2466-2025 tillsynsbegäran.docx", "S 2466-2025")</f>
        <v/>
      </c>
      <c r="AB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46216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Tibast</t>
        </is>
      </c>
      <c r="V10">
        <f>HYPERLINK("https://klasma.github.io/Logging_1275/artfynd/S 1516-2026 artfynd.xlsx", "S 1516-2026")</f>
        <v/>
      </c>
      <c r="W10">
        <f>HYPERLINK("https://klasma.github.io/Logging_1275/kartor/S 1516-2026 karta.png", "S 1516-2026")</f>
        <v/>
      </c>
      <c r="Y10">
        <f>HYPERLINK("https://klasma.github.io/Logging_1275/klagomål/S 1516-2026 FSC-klagomål.docx", "S 1516-2026")</f>
        <v/>
      </c>
      <c r="Z10">
        <f>HYPERLINK("https://klasma.github.io/Logging_1275/klagomålsmail/S 1516-2026 FSC-klagomål mail.docx", "S 1516-2026")</f>
        <v/>
      </c>
      <c r="AA10">
        <f>HYPERLINK("https://klasma.github.io/Logging_1275/tillsyn/S 1516-2026 tillsynsbegäran.docx", "S 1516-2026")</f>
        <v/>
      </c>
      <c r="AB10">
        <f>HYPERLINK("https://klasma.github.io/Logging_1275/tillsynsmail/S 1516-2026 tillsynsbegäran mail.docx", "S 1516-2026")</f>
        <v/>
      </c>
    </row>
    <row r="11" ht="15" customHeight="1">
      <c r="A11" t="inlineStr">
        <is>
          <t>A 48380-2021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44451</v>
      </c>
      <c r="E11" s="1" t="n">
        <v>46216</v>
      </c>
      <c r="F11" t="inlineStr">
        <is>
          <t>SKÅNE LÄN</t>
        </is>
      </c>
      <c r="G11" t="inlineStr">
        <is>
          <t>PERSTORP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47263-2021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46216</v>
      </c>
      <c r="F12" t="inlineStr">
        <is>
          <t>SKÅNE LÄN</t>
        </is>
      </c>
      <c r="G12" t="inlineStr">
        <is>
          <t>PERSTORP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57997-2021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46216</v>
      </c>
      <c r="F13" t="inlineStr">
        <is>
          <t>SKÅNE LÄN</t>
        </is>
      </c>
      <c r="G13" t="inlineStr">
        <is>
          <t>PERSTORP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64627-2021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44511</v>
      </c>
      <c r="E14" s="1" t="n">
        <v>46216</v>
      </c>
      <c r="F14" t="inlineStr">
        <is>
          <t>SKÅNE LÄN</t>
        </is>
      </c>
      <c r="G14" t="inlineStr">
        <is>
          <t>PERSTORP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60021-2021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46216</v>
      </c>
      <c r="F15" t="inlineStr">
        <is>
          <t>SKÅNE LÄN</t>
        </is>
      </c>
      <c r="G15" t="inlineStr">
        <is>
          <t>PERSTORP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54411-2021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46216</v>
      </c>
      <c r="F16" t="inlineStr">
        <is>
          <t>SKÅNE LÄN</t>
        </is>
      </c>
      <c r="G16" t="inlineStr">
        <is>
          <t>PERSTORP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26501-2022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44739</v>
      </c>
      <c r="E17" s="1" t="n">
        <v>46216</v>
      </c>
      <c r="F17" t="inlineStr">
        <is>
          <t>SKÅNE LÄN</t>
        </is>
      </c>
      <c r="G17" t="inlineStr">
        <is>
          <t>PERSTORP</t>
        </is>
      </c>
      <c r="I17" t="n">
        <v>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53784-2021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44469</v>
      </c>
      <c r="E18" s="1" t="n">
        <v>46216</v>
      </c>
      <c r="F18" t="inlineStr">
        <is>
          <t>SKÅNE LÄN</t>
        </is>
      </c>
      <c r="G18" t="inlineStr">
        <is>
          <t>PERSTORP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46216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54305-2021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44472</v>
      </c>
      <c r="E20" s="1" t="n">
        <v>46216</v>
      </c>
      <c r="F20" t="inlineStr">
        <is>
          <t>SKÅNE LÄN</t>
        </is>
      </c>
      <c r="G20" t="inlineStr">
        <is>
          <t>PERSTORP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46216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46216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46216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46216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46216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45751</v>
      </c>
      <c r="E26" s="1" t="n">
        <v>46216</v>
      </c>
      <c r="F26" t="inlineStr">
        <is>
          <t>SKÅNE LÄN</t>
        </is>
      </c>
      <c r="G26" t="inlineStr">
        <is>
          <t>PERSTORP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42454-2024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46216</v>
      </c>
      <c r="F27" t="inlineStr">
        <is>
          <t>SKÅNE LÄN</t>
        </is>
      </c>
      <c r="G27" t="inlineStr">
        <is>
          <t>PERSTORP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2684-2024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45314</v>
      </c>
      <c r="E28" s="1" t="n">
        <v>46216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1166-2024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46216</v>
      </c>
      <c r="F29" t="inlineStr">
        <is>
          <t>SKÅNE LÄN</t>
        </is>
      </c>
      <c r="G29" t="inlineStr">
        <is>
          <t>PERSTORP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14632-2024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45397</v>
      </c>
      <c r="E30" s="1" t="n">
        <v>46216</v>
      </c>
      <c r="F30" t="inlineStr">
        <is>
          <t>SKÅNE LÄN</t>
        </is>
      </c>
      <c r="G30" t="inlineStr">
        <is>
          <t>PERSTORP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60504-2023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46216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12182-2022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46216</v>
      </c>
      <c r="F32" t="inlineStr">
        <is>
          <t>SKÅNE LÄN</t>
        </is>
      </c>
      <c r="G32" t="inlineStr">
        <is>
          <t>PERSTORP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62293-2022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46216</v>
      </c>
      <c r="F33" t="inlineStr">
        <is>
          <t>SKÅNE LÄN</t>
        </is>
      </c>
      <c r="G33" t="inlineStr">
        <is>
          <t>PERSTORP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37890-2024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45544</v>
      </c>
      <c r="E34" s="1" t="n">
        <v>46216</v>
      </c>
      <c r="F34" t="inlineStr">
        <is>
          <t>SKÅNE LÄN</t>
        </is>
      </c>
      <c r="G34" t="inlineStr">
        <is>
          <t>PERSTORP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1538-2026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46216</v>
      </c>
      <c r="F35" t="inlineStr">
        <is>
          <t>SKÅNE LÄN</t>
        </is>
      </c>
      <c r="G35" t="inlineStr">
        <is>
          <t>PERSTORP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51250-2024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46216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46216</v>
      </c>
      <c r="F37" t="inlineStr">
        <is>
          <t>SKÅNE LÄN</t>
        </is>
      </c>
      <c r="G37" t="inlineStr">
        <is>
          <t>PERSTORP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46216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44939</v>
      </c>
      <c r="E39" s="1" t="n">
        <v>46216</v>
      </c>
      <c r="F39" t="inlineStr">
        <is>
          <t>SKÅNE LÄN</t>
        </is>
      </c>
      <c r="G39" t="inlineStr">
        <is>
          <t>PERSTORP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60501-2023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46216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45826</v>
      </c>
      <c r="E41" s="1" t="n">
        <v>46216</v>
      </c>
      <c r="F41" t="inlineStr">
        <is>
          <t>SKÅNE LÄN</t>
        </is>
      </c>
      <c r="G41" t="inlineStr">
        <is>
          <t>PERSTORP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46216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46216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51207-2022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46216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28751-2024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45478</v>
      </c>
      <c r="E45" s="1" t="n">
        <v>46216</v>
      </c>
      <c r="F45" t="inlineStr">
        <is>
          <t>SKÅNE LÄN</t>
        </is>
      </c>
      <c r="G45" t="inlineStr">
        <is>
          <t>PERSTORP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29867-2023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46216</v>
      </c>
      <c r="F46" t="inlineStr">
        <is>
          <t>SKÅNE LÄN</t>
        </is>
      </c>
      <c r="G46" t="inlineStr">
        <is>
          <t>PERSTORP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46216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45608</v>
      </c>
      <c r="E48" s="1" t="n">
        <v>46216</v>
      </c>
      <c r="F48" t="inlineStr">
        <is>
          <t>SKÅNE LÄN</t>
        </is>
      </c>
      <c r="G48" t="inlineStr">
        <is>
          <t>PERSTORP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46216</v>
      </c>
      <c r="F49" t="inlineStr">
        <is>
          <t>SKÅNE LÄN</t>
        </is>
      </c>
      <c r="G49" t="inlineStr">
        <is>
          <t>PERSTORP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3661-2026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46043</v>
      </c>
      <c r="E50" s="1" t="n">
        <v>46216</v>
      </c>
      <c r="F50" t="inlineStr">
        <is>
          <t>SKÅNE LÄN</t>
        </is>
      </c>
      <c r="G50" t="inlineStr">
        <is>
          <t>PERSTORP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55416-2022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46216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46216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55410-2022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46216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53245-2025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45958</v>
      </c>
      <c r="E54" s="1" t="n">
        <v>46216</v>
      </c>
      <c r="F54" t="inlineStr">
        <is>
          <t>SKÅNE LÄN</t>
        </is>
      </c>
      <c r="G54" t="inlineStr">
        <is>
          <t>PERSTORP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46216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46216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46216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57771-2025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45981</v>
      </c>
      <c r="E58" s="1" t="n">
        <v>46216</v>
      </c>
      <c r="F58" t="inlineStr">
        <is>
          <t>SKÅNE LÄN</t>
        </is>
      </c>
      <c r="G58" t="inlineStr">
        <is>
          <t>PERSTORP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7043-2025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45701</v>
      </c>
      <c r="E59" s="1" t="n">
        <v>46216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11720-2024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46216</v>
      </c>
      <c r="F60" t="inlineStr">
        <is>
          <t>SKÅNE LÄN</t>
        </is>
      </c>
      <c r="G60" t="inlineStr">
        <is>
          <t>PERSTORP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67669-2021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46216</v>
      </c>
      <c r="F61" t="inlineStr">
        <is>
          <t>SKÅNE LÄN</t>
        </is>
      </c>
      <c r="G61" t="inlineStr">
        <is>
          <t>PERSTORP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38324-2023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46216</v>
      </c>
      <c r="F62" t="inlineStr">
        <is>
          <t>SKÅNE LÄN</t>
        </is>
      </c>
      <c r="G62" t="inlineStr">
        <is>
          <t>PERSTORP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46216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8565-2023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46216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52615-2023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46216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13818-2026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46216</v>
      </c>
      <c r="F66" t="inlineStr">
        <is>
          <t>SKÅNE LÄN</t>
        </is>
      </c>
      <c r="G66" t="inlineStr">
        <is>
          <t>PERSTORP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46216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9368-2023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46216</v>
      </c>
      <c r="F68" t="inlineStr">
        <is>
          <t>SKÅNE LÄN</t>
        </is>
      </c>
      <c r="G68" t="inlineStr">
        <is>
          <t>PERSTORP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46216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46216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46216</v>
      </c>
      <c r="F71" t="inlineStr">
        <is>
          <t>SKÅNE LÄN</t>
        </is>
      </c>
      <c r="G71" t="inlineStr">
        <is>
          <t>PERSTORP</t>
        </is>
      </c>
      <c r="H71" t="inlineStr">
        <is>
          <t>Kyrkan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45161</v>
      </c>
      <c r="E72" s="1" t="n">
        <v>46216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8741-2024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46216</v>
      </c>
      <c r="F73" t="inlineStr">
        <is>
          <t>SKÅNE LÄN</t>
        </is>
      </c>
      <c r="G73" t="inlineStr">
        <is>
          <t>PERSTORP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13267-2023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45003</v>
      </c>
      <c r="E74" s="1" t="n">
        <v>46216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25487-2026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46216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46216</v>
      </c>
      <c r="F76" t="inlineStr">
        <is>
          <t>SKÅNE LÄN</t>
        </is>
      </c>
      <c r="G76" t="inlineStr">
        <is>
          <t>PERSTORP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21208-2023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46216</v>
      </c>
      <c r="F77" t="inlineStr">
        <is>
          <t>SKÅNE LÄN</t>
        </is>
      </c>
      <c r="G77" t="inlineStr">
        <is>
          <t>PERSTORP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28097-2025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46216</v>
      </c>
      <c r="F78" t="inlineStr">
        <is>
          <t>SKÅNE LÄN</t>
        </is>
      </c>
      <c r="G78" t="inlineStr">
        <is>
          <t>PERSTORP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46216</v>
      </c>
      <c r="F79" t="inlineStr">
        <is>
          <t>SKÅNE LÄN</t>
        </is>
      </c>
      <c r="G79" t="inlineStr">
        <is>
          <t>PERSTORP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35194-2023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46216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25867-2026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46216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46216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46216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52617-2023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46216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46216</v>
      </c>
      <c r="F85" t="inlineStr">
        <is>
          <t>SKÅNE LÄN</t>
        </is>
      </c>
      <c r="G85" t="inlineStr">
        <is>
          <t>PERSTORP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46216</v>
      </c>
      <c r="F86" t="inlineStr">
        <is>
          <t>SKÅNE LÄN</t>
        </is>
      </c>
      <c r="G86" t="inlineStr">
        <is>
          <t>PERSTORP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54647-2023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46216</v>
      </c>
      <c r="F87" t="inlineStr">
        <is>
          <t>SKÅNE LÄN</t>
        </is>
      </c>
      <c r="G87" t="inlineStr">
        <is>
          <t>PERSTORP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21733-2026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46216</v>
      </c>
      <c r="F88" t="inlineStr">
        <is>
          <t>SKÅNE LÄN</t>
        </is>
      </c>
      <c r="G88" t="inlineStr">
        <is>
          <t>PERSTORP</t>
        </is>
      </c>
      <c r="I88" t="n">
        <v>16.7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46216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46216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46200-2022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46216</v>
      </c>
      <c r="F91" t="inlineStr">
        <is>
          <t>SKÅNE LÄN</t>
        </is>
      </c>
      <c r="G91" t="inlineStr">
        <is>
          <t>PERSTORP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46216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46216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46216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52575-2023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46216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46216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38936-2023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46216</v>
      </c>
      <c r="F97" t="inlineStr">
        <is>
          <t>SKÅNE LÄN</t>
        </is>
      </c>
      <c r="G97" t="inlineStr">
        <is>
          <t>PERSTORP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46216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46216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46216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46216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46216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46216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46216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46216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46216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46216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46216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46216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46216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46216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46216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46216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46216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46216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46216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46216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46216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46216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46216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46216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46216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46216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46216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46216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46216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46216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46216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46216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46216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46216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46216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46216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46216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46216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46216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46216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46216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46216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46216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2026-07-13T14:48:56Z</dcterms:created>
  <dcterms:modified xmlns:dcterms="http://purl.org/dc/terms/" xmlns:xsi="http://www.w3.org/2001/XMLSchema-instance" xsi:type="dcterms:W3CDTF">2026-07-13T14:48:56Z</dcterms:modified>
</cp:coreProperties>
</file>