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46196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4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Entita
Västlig hakmossa
Kungsfågel
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  <c r="Z2">
        <f>HYPERLINK("https://klasma.github.io/Logging_1275/fåglar/A 36700-2025 prioriterade fågelarter.docx",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46196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4989-2022</t>
        </is>
      </c>
      <c r="B4" s="1" t="n">
        <v>44593</v>
      </c>
      <c r="C4" s="1" t="n">
        <v>46196</v>
      </c>
      <c r="D4" t="inlineStr">
        <is>
          <t>SKÅNE LÄN</t>
        </is>
      </c>
      <c r="E4" t="inlineStr">
        <is>
          <t>PERSTORP</t>
        </is>
      </c>
      <c r="G4" t="n">
        <v>6.7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HYPERLINK("https://klasma.github.io/Logging_1275/artfynd/A 4989-2022 artfynd.xlsx", "A 4989-2022")</f>
        <v/>
      </c>
      <c r="T4">
        <f>HYPERLINK("https://klasma.github.io/Logging_1275/kartor/A 4989-2022 karta.png", "A 4989-2022")</f>
        <v/>
      </c>
      <c r="V4">
        <f>HYPERLINK("https://klasma.github.io/Logging_1275/klagomål/A 4989-2022 FSC-klagomål.docx", "A 4989-2022")</f>
        <v/>
      </c>
      <c r="W4">
        <f>HYPERLINK("https://klasma.github.io/Logging_1275/klagomålsmail/A 4989-2022 FSC-klagomål mail.docx", "A 4989-2022")</f>
        <v/>
      </c>
      <c r="X4">
        <f>HYPERLINK("https://klasma.github.io/Logging_1275/tillsyn/A 4989-2022 tillsynsbegäran.docx", "A 4989-2022")</f>
        <v/>
      </c>
      <c r="Y4">
        <f>HYPERLINK("https://klasma.github.io/Logging_1275/tillsynsmail/A 4989-2022 tillsynsbegäran mail.docx", "A 4989-2022")</f>
        <v/>
      </c>
      <c r="Z4">
        <f>HYPERLINK("https://klasma.github.io/Logging_1275/fåglar/A 4989-2022 prioriterade fågelarter.docx", "A 4989-2022")</f>
        <v/>
      </c>
    </row>
    <row r="5" ht="15" customHeight="1">
      <c r="A5" t="inlineStr">
        <is>
          <t>A 34907-2025</t>
        </is>
      </c>
      <c r="B5" s="1" t="n">
        <v>45849</v>
      </c>
      <c r="C5" s="1" t="n">
        <v>46196</v>
      </c>
      <c r="D5" t="inlineStr">
        <is>
          <t>SKÅNE LÄN</t>
        </is>
      </c>
      <c r="E5" t="inlineStr">
        <is>
          <t>PERSTORP</t>
        </is>
      </c>
      <c r="G5" t="n">
        <v>3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HYPERLINK("https://klasma.github.io/Logging_1275/artfynd/A 34907-2025 artfynd.xlsx", "A 34907-2025")</f>
        <v/>
      </c>
      <c r="T5">
        <f>HYPERLINK("https://klasma.github.io/Logging_1275/kartor/A 34907-2025 karta.png", "A 34907-2025")</f>
        <v/>
      </c>
      <c r="V5">
        <f>HYPERLINK("https://klasma.github.io/Logging_1275/klagomål/A 34907-2025 FSC-klagomål.docx", "A 34907-2025")</f>
        <v/>
      </c>
      <c r="W5">
        <f>HYPERLINK("https://klasma.github.io/Logging_1275/klagomålsmail/A 34907-2025 FSC-klagomål mail.docx", "A 34907-2025")</f>
        <v/>
      </c>
      <c r="X5">
        <f>HYPERLINK("https://klasma.github.io/Logging_1275/tillsyn/A 34907-2025 tillsynsbegäran.docx", "A 34907-2025")</f>
        <v/>
      </c>
      <c r="Y5">
        <f>HYPERLINK("https://klasma.github.io/Logging_1275/tillsynsmail/A 34907-2025 tillsynsbegäran mail.docx", "A 34907-2025")</f>
        <v/>
      </c>
    </row>
    <row r="6" ht="15" customHeight="1">
      <c r="A6" t="inlineStr">
        <is>
          <t>A 145-2026</t>
        </is>
      </c>
      <c r="B6" s="1" t="n">
        <v>46020</v>
      </c>
      <c r="C6" s="1" t="n">
        <v>46196</v>
      </c>
      <c r="D6" t="inlineStr">
        <is>
          <t>SKÅNE LÄN</t>
        </is>
      </c>
      <c r="E6" t="inlineStr">
        <is>
          <t>PERSTORP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HYPERLINK("https://klasma.github.io/Logging_1275/artfynd/A 145-2026 artfynd.xlsx", "A 145-2026")</f>
        <v/>
      </c>
      <c r="T6">
        <f>HYPERLINK("https://klasma.github.io/Logging_1275/kartor/A 145-2026 karta.png", "A 145-2026")</f>
        <v/>
      </c>
      <c r="V6">
        <f>HYPERLINK("https://klasma.github.io/Logging_1275/klagomål/A 145-2026 FSC-klagomål.docx", "A 145-2026")</f>
        <v/>
      </c>
      <c r="W6">
        <f>HYPERLINK("https://klasma.github.io/Logging_1275/klagomålsmail/A 145-2026 FSC-klagomål mail.docx", "A 145-2026")</f>
        <v/>
      </c>
      <c r="X6">
        <f>HYPERLINK("https://klasma.github.io/Logging_1275/tillsyn/A 145-2026 tillsynsbegäran.docx", "A 145-2026")</f>
        <v/>
      </c>
      <c r="Y6">
        <f>HYPERLINK("https://klasma.github.io/Logging_1275/tillsynsmail/A 145-2026 tillsynsbegäran mail.docx", "A 145-2026")</f>
        <v/>
      </c>
    </row>
    <row r="7" ht="15" customHeight="1">
      <c r="A7" t="inlineStr">
        <is>
          <t>A 48380-2021</t>
        </is>
      </c>
      <c r="B7" s="1" t="n">
        <v>44451</v>
      </c>
      <c r="C7" s="1" t="n">
        <v>46196</v>
      </c>
      <c r="D7" t="inlineStr">
        <is>
          <t>SKÅNE LÄN</t>
        </is>
      </c>
      <c r="E7" t="inlineStr">
        <is>
          <t>PERSTORP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47263-2021</t>
        </is>
      </c>
      <c r="B8" s="1" t="n">
        <v>44446</v>
      </c>
      <c r="C8" s="1" t="n">
        <v>46196</v>
      </c>
      <c r="D8" t="inlineStr">
        <is>
          <t>SKÅNE LÄN</t>
        </is>
      </c>
      <c r="E8" t="inlineStr">
        <is>
          <t>PERSTORP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46196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</v>
      </c>
      <c r="C10" s="1" t="n">
        <v>46196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60021-2021</t>
        </is>
      </c>
      <c r="B11" s="1" t="n">
        <v>44494</v>
      </c>
      <c r="C11" s="1" t="n">
        <v>46196</v>
      </c>
      <c r="D11" t="inlineStr">
        <is>
          <t>SKÅNE LÄN</t>
        </is>
      </c>
      <c r="E11" t="inlineStr">
        <is>
          <t>PERSTORP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54411-2021</t>
        </is>
      </c>
      <c r="B12" s="1" t="n">
        <v>44473</v>
      </c>
      <c r="C12" s="1" t="n">
        <v>46196</v>
      </c>
      <c r="D12" t="inlineStr">
        <is>
          <t>SKÅNE LÄN</t>
        </is>
      </c>
      <c r="E12" t="inlineStr">
        <is>
          <t>PERSTORP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26501-2022</t>
        </is>
      </c>
      <c r="B13" s="1" t="n">
        <v>44739</v>
      </c>
      <c r="C13" s="1" t="n">
        <v>46196</v>
      </c>
      <c r="D13" t="inlineStr">
        <is>
          <t>SKÅNE LÄN</t>
        </is>
      </c>
      <c r="E13" t="inlineStr">
        <is>
          <t>PERSTORP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53784-2021</t>
        </is>
      </c>
      <c r="B14" s="1" t="n">
        <v>44469</v>
      </c>
      <c r="C14" s="1" t="n">
        <v>46196</v>
      </c>
      <c r="D14" t="inlineStr">
        <is>
          <t>SKÅNE LÄN</t>
        </is>
      </c>
      <c r="E14" t="inlineStr">
        <is>
          <t>PERSTORP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52729-2021</t>
        </is>
      </c>
      <c r="B15" s="1" t="n">
        <v>44467</v>
      </c>
      <c r="C15" s="1" t="n">
        <v>46196</v>
      </c>
      <c r="D15" t="inlineStr">
        <is>
          <t>SKÅNE LÄN</t>
        </is>
      </c>
      <c r="E15" t="inlineStr">
        <is>
          <t>PERSTORP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54305-2021</t>
        </is>
      </c>
      <c r="B16" s="1" t="n">
        <v>44472</v>
      </c>
      <c r="C16" s="1" t="n">
        <v>46196</v>
      </c>
      <c r="D16" t="inlineStr">
        <is>
          <t>SKÅNE LÄN</t>
        </is>
      </c>
      <c r="E16" t="inlineStr">
        <is>
          <t>PERSTORP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16337-2025</t>
        </is>
      </c>
      <c r="B17" s="1" t="n">
        <v>45751</v>
      </c>
      <c r="C17" s="1" t="n">
        <v>46196</v>
      </c>
      <c r="D17" t="inlineStr">
        <is>
          <t>SKÅNE LÄN</t>
        </is>
      </c>
      <c r="E17" t="inlineStr">
        <is>
          <t>PERSTORP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28244-2022</t>
        </is>
      </c>
      <c r="B18" s="1" t="n">
        <v>44746</v>
      </c>
      <c r="C18" s="1" t="n">
        <v>46196</v>
      </c>
      <c r="D18" t="inlineStr">
        <is>
          <t>SKÅNE LÄN</t>
        </is>
      </c>
      <c r="E18" t="inlineStr">
        <is>
          <t>PERSTORP</t>
        </is>
      </c>
      <c r="G18" t="n">
        <v>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6948-2025</t>
        </is>
      </c>
      <c r="B19" s="1" t="n">
        <v>45701</v>
      </c>
      <c r="C19" s="1" t="n">
        <v>46196</v>
      </c>
      <c r="D19" t="inlineStr">
        <is>
          <t>SKÅNE LÄN</t>
        </is>
      </c>
      <c r="E19" t="inlineStr">
        <is>
          <t>PERSTORP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16395-2023</t>
        </is>
      </c>
      <c r="B20" s="1" t="n">
        <v>45029</v>
      </c>
      <c r="C20" s="1" t="n">
        <v>46196</v>
      </c>
      <c r="D20" t="inlineStr">
        <is>
          <t>SKÅNE LÄN</t>
        </is>
      </c>
      <c r="E20" t="inlineStr">
        <is>
          <t>PERSTORP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23786-2023</t>
        </is>
      </c>
      <c r="B21" s="1" t="n">
        <v>45078</v>
      </c>
      <c r="C21" s="1" t="n">
        <v>46196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54095-2022</t>
        </is>
      </c>
      <c r="B22" s="1" t="n">
        <v>44879</v>
      </c>
      <c r="C22" s="1" t="n">
        <v>46196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982-2025</t>
        </is>
      </c>
      <c r="B23" s="1" t="n">
        <v>45666</v>
      </c>
      <c r="C23" s="1" t="n">
        <v>46196</v>
      </c>
      <c r="D23" t="inlineStr">
        <is>
          <t>SKÅNE LÄN</t>
        </is>
      </c>
      <c r="E23" t="inlineStr">
        <is>
          <t>PERSTORP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53875-2023</t>
        </is>
      </c>
      <c r="B24" s="1" t="n">
        <v>45231</v>
      </c>
      <c r="C24" s="1" t="n">
        <v>46196</v>
      </c>
      <c r="D24" t="inlineStr">
        <is>
          <t>SKÅNE LÄN</t>
        </is>
      </c>
      <c r="E24" t="inlineStr">
        <is>
          <t>PERSTORP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42454-2024</t>
        </is>
      </c>
      <c r="B25" s="1" t="n">
        <v>45565</v>
      </c>
      <c r="C25" s="1" t="n">
        <v>46196</v>
      </c>
      <c r="D25" t="inlineStr">
        <is>
          <t>SKÅNE LÄN</t>
        </is>
      </c>
      <c r="E25" t="inlineStr">
        <is>
          <t>PERSTORP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53245-2025</t>
        </is>
      </c>
      <c r="B26" s="1" t="n">
        <v>45958</v>
      </c>
      <c r="C26" s="1" t="n">
        <v>46196</v>
      </c>
      <c r="D26" t="inlineStr">
        <is>
          <t>SKÅNE LÄN</t>
        </is>
      </c>
      <c r="E26" t="inlineStr">
        <is>
          <t>PERSTORP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28370-2024</t>
        </is>
      </c>
      <c r="B27" s="1" t="n">
        <v>45477</v>
      </c>
      <c r="C27" s="1" t="n">
        <v>46196</v>
      </c>
      <c r="D27" t="inlineStr">
        <is>
          <t>SKÅNE LÄN</t>
        </is>
      </c>
      <c r="E27" t="inlineStr">
        <is>
          <t>PERSTORP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28736-2024</t>
        </is>
      </c>
      <c r="B28" s="1" t="n">
        <v>45478</v>
      </c>
      <c r="C28" s="1" t="n">
        <v>46196</v>
      </c>
      <c r="D28" t="inlineStr">
        <is>
          <t>SKÅNE LÄN</t>
        </is>
      </c>
      <c r="E28" t="inlineStr">
        <is>
          <t>PERSTORP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17321-2025</t>
        </is>
      </c>
      <c r="B29" s="1" t="n">
        <v>45756</v>
      </c>
      <c r="C29" s="1" t="n">
        <v>46196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51250-2024</t>
        </is>
      </c>
      <c r="B30" s="1" t="n">
        <v>45602</v>
      </c>
      <c r="C30" s="1" t="n">
        <v>46196</v>
      </c>
      <c r="D30" t="inlineStr">
        <is>
          <t>SKÅNE LÄN</t>
        </is>
      </c>
      <c r="E30" t="inlineStr">
        <is>
          <t>PERSTORP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57771-2025</t>
        </is>
      </c>
      <c r="B31" s="1" t="n">
        <v>45981</v>
      </c>
      <c r="C31" s="1" t="n">
        <v>46196</v>
      </c>
      <c r="D31" t="inlineStr">
        <is>
          <t>SKÅNE LÄN</t>
        </is>
      </c>
      <c r="E31" t="inlineStr">
        <is>
          <t>PERSTORP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2684-2024</t>
        </is>
      </c>
      <c r="B32" s="1" t="n">
        <v>45314</v>
      </c>
      <c r="C32" s="1" t="n">
        <v>46196</v>
      </c>
      <c r="D32" t="inlineStr">
        <is>
          <t>SKÅNE LÄN</t>
        </is>
      </c>
      <c r="E32" t="inlineStr">
        <is>
          <t>PERSTORP</t>
        </is>
      </c>
      <c r="F32" t="inlineStr">
        <is>
          <t>Övriga Aktiebolag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1166-2024</t>
        </is>
      </c>
      <c r="B33" s="1" t="n">
        <v>45302</v>
      </c>
      <c r="C33" s="1" t="n">
        <v>46196</v>
      </c>
      <c r="D33" t="inlineStr">
        <is>
          <t>SKÅNE LÄN</t>
        </is>
      </c>
      <c r="E33" t="inlineStr">
        <is>
          <t>PERSTORP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14632-2024</t>
        </is>
      </c>
      <c r="B34" s="1" t="n">
        <v>45397</v>
      </c>
      <c r="C34" s="1" t="n">
        <v>46196</v>
      </c>
      <c r="D34" t="inlineStr">
        <is>
          <t>SKÅNE LÄN</t>
        </is>
      </c>
      <c r="E34" t="inlineStr">
        <is>
          <t>PERSTORP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52315-2024</t>
        </is>
      </c>
      <c r="B35" s="1" t="n">
        <v>45608</v>
      </c>
      <c r="C35" s="1" t="n">
        <v>46196</v>
      </c>
      <c r="D35" t="inlineStr">
        <is>
          <t>SKÅNE LÄN</t>
        </is>
      </c>
      <c r="E35" t="inlineStr">
        <is>
          <t>PERSTORP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60504-2023</t>
        </is>
      </c>
      <c r="B36" s="1" t="n">
        <v>45259</v>
      </c>
      <c r="C36" s="1" t="n">
        <v>46196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1538-2026</t>
        </is>
      </c>
      <c r="B37" s="1" t="n">
        <v>46034</v>
      </c>
      <c r="C37" s="1" t="n">
        <v>46196</v>
      </c>
      <c r="D37" t="inlineStr">
        <is>
          <t>SKÅNE LÄN</t>
        </is>
      </c>
      <c r="E37" t="inlineStr">
        <is>
          <t>PERSTORP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3661-2026</t>
        </is>
      </c>
      <c r="B38" s="1" t="n">
        <v>46043</v>
      </c>
      <c r="C38" s="1" t="n">
        <v>46196</v>
      </c>
      <c r="D38" t="inlineStr">
        <is>
          <t>SKÅNE LÄN</t>
        </is>
      </c>
      <c r="E38" t="inlineStr">
        <is>
          <t>PERSTORP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34236-2025</t>
        </is>
      </c>
      <c r="B39" s="1" t="n">
        <v>45845</v>
      </c>
      <c r="C39" s="1" t="n">
        <v>46196</v>
      </c>
      <c r="D39" t="inlineStr">
        <is>
          <t>SKÅNE LÄN</t>
        </is>
      </c>
      <c r="E39" t="inlineStr">
        <is>
          <t>PERSTORP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30063-2025</t>
        </is>
      </c>
      <c r="B40" s="1" t="n">
        <v>45826</v>
      </c>
      <c r="C40" s="1" t="n">
        <v>46196</v>
      </c>
      <c r="D40" t="inlineStr">
        <is>
          <t>SKÅNE LÄN</t>
        </is>
      </c>
      <c r="E40" t="inlineStr">
        <is>
          <t>PERSTORP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12182-2022</t>
        </is>
      </c>
      <c r="B41" s="1" t="n">
        <v>44636</v>
      </c>
      <c r="C41" s="1" t="n">
        <v>46196</v>
      </c>
      <c r="D41" t="inlineStr">
        <is>
          <t>SKÅNE LÄN</t>
        </is>
      </c>
      <c r="E41" t="inlineStr">
        <is>
          <t>PERSTORP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62293-2022</t>
        </is>
      </c>
      <c r="B42" s="1" t="n">
        <v>44923</v>
      </c>
      <c r="C42" s="1" t="n">
        <v>46196</v>
      </c>
      <c r="D42" t="inlineStr">
        <is>
          <t>SKÅNE LÄN</t>
        </is>
      </c>
      <c r="E42" t="inlineStr">
        <is>
          <t>PERSTORP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37890-2024</t>
        </is>
      </c>
      <c r="B43" s="1" t="n">
        <v>45544</v>
      </c>
      <c r="C43" s="1" t="n">
        <v>46196</v>
      </c>
      <c r="D43" t="inlineStr">
        <is>
          <t>SKÅNE LÄN</t>
        </is>
      </c>
      <c r="E43" t="inlineStr">
        <is>
          <t>PERSTORP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13818-2026</t>
        </is>
      </c>
      <c r="B44" s="1" t="n">
        <v>46098</v>
      </c>
      <c r="C44" s="1" t="n">
        <v>46196</v>
      </c>
      <c r="D44" t="inlineStr">
        <is>
          <t>SKÅNE LÄN</t>
        </is>
      </c>
      <c r="E44" t="inlineStr">
        <is>
          <t>PERSTORP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12911-2025</t>
        </is>
      </c>
      <c r="B45" s="1" t="n">
        <v>45733</v>
      </c>
      <c r="C45" s="1" t="n">
        <v>46196</v>
      </c>
      <c r="D45" t="inlineStr">
        <is>
          <t>SKÅNE LÄN</t>
        </is>
      </c>
      <c r="E45" t="inlineStr">
        <is>
          <t>PERSTORP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12912-2025</t>
        </is>
      </c>
      <c r="B46" s="1" t="n">
        <v>45733</v>
      </c>
      <c r="C46" s="1" t="n">
        <v>46196</v>
      </c>
      <c r="D46" t="inlineStr">
        <is>
          <t>SKÅNE LÄN</t>
        </is>
      </c>
      <c r="E46" t="inlineStr">
        <is>
          <t>PERSTORP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2015-2023</t>
        </is>
      </c>
      <c r="B47" s="1" t="n">
        <v>44939</v>
      </c>
      <c r="C47" s="1" t="n">
        <v>46196</v>
      </c>
      <c r="D47" t="inlineStr">
        <is>
          <t>SKÅNE LÄN</t>
        </is>
      </c>
      <c r="E47" t="inlineStr">
        <is>
          <t>PERSTORP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60501-2023</t>
        </is>
      </c>
      <c r="B48" s="1" t="n">
        <v>45259</v>
      </c>
      <c r="C48" s="1" t="n">
        <v>46196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60506-2023</t>
        </is>
      </c>
      <c r="B49" s="1" t="n">
        <v>45259</v>
      </c>
      <c r="C49" s="1" t="n">
        <v>46196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23874-2026</t>
        </is>
      </c>
      <c r="B50" s="1" t="n">
        <v>46167</v>
      </c>
      <c r="C50" s="1" t="n">
        <v>46196</v>
      </c>
      <c r="D50" t="inlineStr">
        <is>
          <t>SKÅNE LÄN</t>
        </is>
      </c>
      <c r="E50" t="inlineStr">
        <is>
          <t>PERSTORP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18947-2026</t>
        </is>
      </c>
      <c r="B51" s="1" t="n">
        <v>46127</v>
      </c>
      <c r="C51" s="1" t="n">
        <v>46196</v>
      </c>
      <c r="D51" t="inlineStr">
        <is>
          <t>SKÅNE LÄN</t>
        </is>
      </c>
      <c r="E51" t="inlineStr">
        <is>
          <t>PERSTORP</t>
        </is>
      </c>
      <c r="F51" t="inlineStr">
        <is>
          <t>Kyrkan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46737-2024</t>
        </is>
      </c>
      <c r="B52" s="1" t="n">
        <v>45583</v>
      </c>
      <c r="C52" s="1" t="n">
        <v>46196</v>
      </c>
      <c r="D52" t="inlineStr">
        <is>
          <t>SKÅNE LÄN</t>
        </is>
      </c>
      <c r="E52" t="inlineStr">
        <is>
          <t>PERSTORP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51207-2022</t>
        </is>
      </c>
      <c r="B53" s="1" t="n">
        <v>44868</v>
      </c>
      <c r="C53" s="1" t="n">
        <v>46196</v>
      </c>
      <c r="D53" t="inlineStr">
        <is>
          <t>SKÅNE LÄN</t>
        </is>
      </c>
      <c r="E53" t="inlineStr">
        <is>
          <t>PERSTORP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25487-2026</t>
        </is>
      </c>
      <c r="B54" s="1" t="n">
        <v>46177</v>
      </c>
      <c r="C54" s="1" t="n">
        <v>46196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42435-2024</t>
        </is>
      </c>
      <c r="B55" s="1" t="n">
        <v>45565</v>
      </c>
      <c r="C55" s="1" t="n">
        <v>46196</v>
      </c>
      <c r="D55" t="inlineStr">
        <is>
          <t>SKÅNE LÄN</t>
        </is>
      </c>
      <c r="E55" t="inlineStr">
        <is>
          <t>PERSTORP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28097-2025</t>
        </is>
      </c>
      <c r="B56" s="1" t="n">
        <v>45817</v>
      </c>
      <c r="C56" s="1" t="n">
        <v>46196</v>
      </c>
      <c r="D56" t="inlineStr">
        <is>
          <t>SKÅNE LÄN</t>
        </is>
      </c>
      <c r="E56" t="inlineStr">
        <is>
          <t>PERSTORP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47289-2025</t>
        </is>
      </c>
      <c r="B57" s="1" t="n">
        <v>45930</v>
      </c>
      <c r="C57" s="1" t="n">
        <v>46196</v>
      </c>
      <c r="D57" t="inlineStr">
        <is>
          <t>SKÅNE LÄN</t>
        </is>
      </c>
      <c r="E57" t="inlineStr">
        <is>
          <t>PERSTORP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25867-2026</t>
        </is>
      </c>
      <c r="B58" s="1" t="n">
        <v>46178</v>
      </c>
      <c r="C58" s="1" t="n">
        <v>46196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28751-2024</t>
        </is>
      </c>
      <c r="B59" s="1" t="n">
        <v>45478</v>
      </c>
      <c r="C59" s="1" t="n">
        <v>46196</v>
      </c>
      <c r="D59" t="inlineStr">
        <is>
          <t>SKÅNE LÄN</t>
        </is>
      </c>
      <c r="E59" t="inlineStr">
        <is>
          <t>PERSTORP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29867-2023</t>
        </is>
      </c>
      <c r="B60" s="1" t="n">
        <v>45107</v>
      </c>
      <c r="C60" s="1" t="n">
        <v>46196</v>
      </c>
      <c r="D60" t="inlineStr">
        <is>
          <t>SKÅNE LÄN</t>
        </is>
      </c>
      <c r="E60" t="inlineStr">
        <is>
          <t>PERSTORP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27465-2026</t>
        </is>
      </c>
      <c r="B61" s="1" t="n">
        <v>46189</v>
      </c>
      <c r="C61" s="1" t="n">
        <v>46196</v>
      </c>
      <c r="D61" t="inlineStr">
        <is>
          <t>SKÅNE LÄN</t>
        </is>
      </c>
      <c r="E61" t="inlineStr">
        <is>
          <t>PERSTORP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21733-2026</t>
        </is>
      </c>
      <c r="B62" s="1" t="n">
        <v>46149</v>
      </c>
      <c r="C62" s="1" t="n">
        <v>46196</v>
      </c>
      <c r="D62" t="inlineStr">
        <is>
          <t>SKÅNE LÄN</t>
        </is>
      </c>
      <c r="E62" t="inlineStr">
        <is>
          <t>PERSTORP</t>
        </is>
      </c>
      <c r="G62" t="n">
        <v>16.7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60498-2023</t>
        </is>
      </c>
      <c r="B63" s="1" t="n">
        <v>45259</v>
      </c>
      <c r="C63" s="1" t="n">
        <v>46196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2950-2023</t>
        </is>
      </c>
      <c r="B64" s="1" t="n">
        <v>44945</v>
      </c>
      <c r="C64" s="1" t="n">
        <v>46196</v>
      </c>
      <c r="D64" t="inlineStr">
        <is>
          <t>SKÅNE LÄN</t>
        </is>
      </c>
      <c r="E64" t="inlineStr">
        <is>
          <t>PERSTORP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55416-2022</t>
        </is>
      </c>
      <c r="B65" s="1" t="n">
        <v>44882</v>
      </c>
      <c r="C65" s="1" t="n">
        <v>46196</v>
      </c>
      <c r="D65" t="inlineStr">
        <is>
          <t>SKÅNE LÄN</t>
        </is>
      </c>
      <c r="E65" t="inlineStr">
        <is>
          <t>PERSTORP</t>
        </is>
      </c>
      <c r="F65" t="inlineStr">
        <is>
          <t>Övriga Aktiebolag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7492-2025</t>
        </is>
      </c>
      <c r="B66" s="1" t="n">
        <v>45702</v>
      </c>
      <c r="C66" s="1" t="n">
        <v>46196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55410-2022</t>
        </is>
      </c>
      <c r="B67" s="1" t="n">
        <v>44882</v>
      </c>
      <c r="C67" s="1" t="n">
        <v>46196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52740-2024</t>
        </is>
      </c>
      <c r="B68" s="1" t="n">
        <v>45610</v>
      </c>
      <c r="C68" s="1" t="n">
        <v>46196</v>
      </c>
      <c r="D68" t="inlineStr">
        <is>
          <t>SKÅNE LÄN</t>
        </is>
      </c>
      <c r="E68" t="inlineStr">
        <is>
          <t>PERSTORP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8704-2024</t>
        </is>
      </c>
      <c r="B69" s="1" t="n">
        <v>45356</v>
      </c>
      <c r="C69" s="1" t="n">
        <v>46196</v>
      </c>
      <c r="D69" t="inlineStr">
        <is>
          <t>SKÅNE LÄN</t>
        </is>
      </c>
      <c r="E69" t="inlineStr">
        <is>
          <t>PERSTORP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23785-2023</t>
        </is>
      </c>
      <c r="B70" s="1" t="n">
        <v>45078</v>
      </c>
      <c r="C70" s="1" t="n">
        <v>46196</v>
      </c>
      <c r="D70" t="inlineStr">
        <is>
          <t>SKÅNE LÄN</t>
        </is>
      </c>
      <c r="E70" t="inlineStr">
        <is>
          <t>PERSTORP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7043-2025</t>
        </is>
      </c>
      <c r="B71" s="1" t="n">
        <v>45701</v>
      </c>
      <c r="C71" s="1" t="n">
        <v>46196</v>
      </c>
      <c r="D71" t="inlineStr">
        <is>
          <t>SKÅNE LÄN</t>
        </is>
      </c>
      <c r="E71" t="inlineStr">
        <is>
          <t>PERSTORP</t>
        </is>
      </c>
      <c r="F71" t="inlineStr">
        <is>
          <t>Övriga Aktiebolag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11720-2024</t>
        </is>
      </c>
      <c r="B72" s="1" t="n">
        <v>45373</v>
      </c>
      <c r="C72" s="1" t="n">
        <v>46196</v>
      </c>
      <c r="D72" t="inlineStr">
        <is>
          <t>SKÅNE LÄN</t>
        </is>
      </c>
      <c r="E72" t="inlineStr">
        <is>
          <t>PERSTORP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67669-2021</t>
        </is>
      </c>
      <c r="B73" s="1" t="n">
        <v>44524</v>
      </c>
      <c r="C73" s="1" t="n">
        <v>46196</v>
      </c>
      <c r="D73" t="inlineStr">
        <is>
          <t>SKÅNE LÄN</t>
        </is>
      </c>
      <c r="E73" t="inlineStr">
        <is>
          <t>PERSTORP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38324-2023</t>
        </is>
      </c>
      <c r="B74" s="1" t="n">
        <v>45161</v>
      </c>
      <c r="C74" s="1" t="n">
        <v>46196</v>
      </c>
      <c r="D74" t="inlineStr">
        <is>
          <t>SKÅNE LÄN</t>
        </is>
      </c>
      <c r="E74" t="inlineStr">
        <is>
          <t>PERSTORP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53586-2022</t>
        </is>
      </c>
      <c r="B75" s="1" t="n">
        <v>44875</v>
      </c>
      <c r="C75" s="1" t="n">
        <v>46196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8565-2023</t>
        </is>
      </c>
      <c r="B76" s="1" t="n">
        <v>44977</v>
      </c>
      <c r="C76" s="1" t="n">
        <v>46196</v>
      </c>
      <c r="D76" t="inlineStr">
        <is>
          <t>SKÅNE LÄN</t>
        </is>
      </c>
      <c r="E76" t="inlineStr">
        <is>
          <t>PERSTORP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52615-2023</t>
        </is>
      </c>
      <c r="B77" s="1" t="n">
        <v>45219</v>
      </c>
      <c r="C77" s="1" t="n">
        <v>46196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7509-2025</t>
        </is>
      </c>
      <c r="B78" s="1" t="n">
        <v>45702</v>
      </c>
      <c r="C78" s="1" t="n">
        <v>46196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9368-2023</t>
        </is>
      </c>
      <c r="B79" s="1" t="n">
        <v>44981</v>
      </c>
      <c r="C79" s="1" t="n">
        <v>46196</v>
      </c>
      <c r="D79" t="inlineStr">
        <is>
          <t>SKÅNE LÄN</t>
        </is>
      </c>
      <c r="E79" t="inlineStr">
        <is>
          <t>PERSTORP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4688-2022</t>
        </is>
      </c>
      <c r="B80" s="1" t="n">
        <v>44592</v>
      </c>
      <c r="C80" s="1" t="n">
        <v>46196</v>
      </c>
      <c r="D80" t="inlineStr">
        <is>
          <t>SKÅNE LÄN</t>
        </is>
      </c>
      <c r="E80" t="inlineStr">
        <is>
          <t>PERSTORP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10742-2024</t>
        </is>
      </c>
      <c r="B81" s="1" t="n">
        <v>45369</v>
      </c>
      <c r="C81" s="1" t="n">
        <v>46196</v>
      </c>
      <c r="D81" t="inlineStr">
        <is>
          <t>SKÅNE LÄN</t>
        </is>
      </c>
      <c r="E81" t="inlineStr">
        <is>
          <t>PERSTORP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38329-2023</t>
        </is>
      </c>
      <c r="B82" s="1" t="n">
        <v>45161</v>
      </c>
      <c r="C82" s="1" t="n">
        <v>46196</v>
      </c>
      <c r="D82" t="inlineStr">
        <is>
          <t>SKÅNE LÄN</t>
        </is>
      </c>
      <c r="E82" t="inlineStr">
        <is>
          <t>PERSTORP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8741-2024</t>
        </is>
      </c>
      <c r="B83" s="1" t="n">
        <v>45356</v>
      </c>
      <c r="C83" s="1" t="n">
        <v>46196</v>
      </c>
      <c r="D83" t="inlineStr">
        <is>
          <t>SKÅNE LÄN</t>
        </is>
      </c>
      <c r="E83" t="inlineStr">
        <is>
          <t>PERSTORP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13267-2023</t>
        </is>
      </c>
      <c r="B84" s="1" t="n">
        <v>45003</v>
      </c>
      <c r="C84" s="1" t="n">
        <v>46196</v>
      </c>
      <c r="D84" t="inlineStr">
        <is>
          <t>SKÅNE LÄN</t>
        </is>
      </c>
      <c r="E84" t="inlineStr">
        <is>
          <t>PERSTORP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21208-2023</t>
        </is>
      </c>
      <c r="B85" s="1" t="n">
        <v>45062</v>
      </c>
      <c r="C85" s="1" t="n">
        <v>46196</v>
      </c>
      <c r="D85" t="inlineStr">
        <is>
          <t>SKÅNE LÄN</t>
        </is>
      </c>
      <c r="E85" t="inlineStr">
        <is>
          <t>PERSTORP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35194-2023</t>
        </is>
      </c>
      <c r="B86" s="1" t="n">
        <v>45145</v>
      </c>
      <c r="C86" s="1" t="n">
        <v>46196</v>
      </c>
      <c r="D86" t="inlineStr">
        <is>
          <t>SKÅNE LÄN</t>
        </is>
      </c>
      <c r="E86" t="inlineStr">
        <is>
          <t>PERSTORP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1164-2024</t>
        </is>
      </c>
      <c r="B87" s="1" t="n">
        <v>45302</v>
      </c>
      <c r="C87" s="1" t="n">
        <v>46196</v>
      </c>
      <c r="D87" t="inlineStr">
        <is>
          <t>SKÅNE LÄN</t>
        </is>
      </c>
      <c r="E87" t="inlineStr">
        <is>
          <t>PERSTORP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11669-2023</t>
        </is>
      </c>
      <c r="B88" s="1" t="n">
        <v>44992</v>
      </c>
      <c r="C88" s="1" t="n">
        <v>46196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52617-2023</t>
        </is>
      </c>
      <c r="B89" s="1" t="n">
        <v>45219</v>
      </c>
      <c r="C89" s="1" t="n">
        <v>46196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38328-2023</t>
        </is>
      </c>
      <c r="B90" s="1" t="n">
        <v>45161</v>
      </c>
      <c r="C90" s="1" t="n">
        <v>46196</v>
      </c>
      <c r="D90" t="inlineStr">
        <is>
          <t>SKÅNE LÄN</t>
        </is>
      </c>
      <c r="E90" t="inlineStr">
        <is>
          <t>PERSTORP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54647-2023</t>
        </is>
      </c>
      <c r="B91" s="1" t="n">
        <v>45235</v>
      </c>
      <c r="C91" s="1" t="n">
        <v>46196</v>
      </c>
      <c r="D91" t="inlineStr">
        <is>
          <t>SKÅNE LÄN</t>
        </is>
      </c>
      <c r="E91" t="inlineStr">
        <is>
          <t>PERSTORP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31802-2023</t>
        </is>
      </c>
      <c r="B92" s="1" t="n">
        <v>45106</v>
      </c>
      <c r="C92" s="1" t="n">
        <v>46196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16331-2025</t>
        </is>
      </c>
      <c r="B93" s="1" t="n">
        <v>45751</v>
      </c>
      <c r="C93" s="1" t="n">
        <v>46196</v>
      </c>
      <c r="D93" t="inlineStr">
        <is>
          <t>SKÅNE LÄN</t>
        </is>
      </c>
      <c r="E93" t="inlineStr">
        <is>
          <t>PERSTORP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46200-2022</t>
        </is>
      </c>
      <c r="B94" s="1" t="n">
        <v>44845</v>
      </c>
      <c r="C94" s="1" t="n">
        <v>46196</v>
      </c>
      <c r="D94" t="inlineStr">
        <is>
          <t>SKÅNE LÄN</t>
        </is>
      </c>
      <c r="E94" t="inlineStr">
        <is>
          <t>PERSTORP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10941-2024</t>
        </is>
      </c>
      <c r="B95" s="1" t="n">
        <v>45370</v>
      </c>
      <c r="C95" s="1" t="n">
        <v>46196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62296-2022</t>
        </is>
      </c>
      <c r="B96" s="1" t="n">
        <v>44923</v>
      </c>
      <c r="C96" s="1" t="n">
        <v>46196</v>
      </c>
      <c r="D96" t="inlineStr">
        <is>
          <t>SKÅNE LÄN</t>
        </is>
      </c>
      <c r="E96" t="inlineStr">
        <is>
          <t>PERSTORP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29874-2023</t>
        </is>
      </c>
      <c r="B97" s="1" t="n">
        <v>45107</v>
      </c>
      <c r="C97" s="1" t="n">
        <v>46196</v>
      </c>
      <c r="D97" t="inlineStr">
        <is>
          <t>SKÅNE LÄN</t>
        </is>
      </c>
      <c r="E97" t="inlineStr">
        <is>
          <t>PERSTORP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52575-2023</t>
        </is>
      </c>
      <c r="B98" s="1" t="n">
        <v>45219</v>
      </c>
      <c r="C98" s="1" t="n">
        <v>46196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10.2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52583-2023</t>
        </is>
      </c>
      <c r="B99" s="1" t="n">
        <v>45219</v>
      </c>
      <c r="C99" s="1" t="n">
        <v>46196</v>
      </c>
      <c r="D99" t="inlineStr">
        <is>
          <t>SKÅNE LÄN</t>
        </is>
      </c>
      <c r="E99" t="inlineStr">
        <is>
          <t>PERSTORP</t>
        </is>
      </c>
      <c r="F99" t="inlineStr">
        <is>
          <t>Övriga Aktiebolag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38936-2023</t>
        </is>
      </c>
      <c r="B100" s="1" t="n">
        <v>45163</v>
      </c>
      <c r="C100" s="1" t="n">
        <v>46196</v>
      </c>
      <c r="D100" t="inlineStr">
        <is>
          <t>SKÅNE LÄN</t>
        </is>
      </c>
      <c r="E100" t="inlineStr">
        <is>
          <t>PERSTORP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7508-2025</t>
        </is>
      </c>
      <c r="B101" s="1" t="n">
        <v>45702</v>
      </c>
      <c r="C101" s="1" t="n">
        <v>46196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7510-2025</t>
        </is>
      </c>
      <c r="B102" s="1" t="n">
        <v>45702</v>
      </c>
      <c r="C102" s="1" t="n">
        <v>46196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28247-2022</t>
        </is>
      </c>
      <c r="B103" s="1" t="n">
        <v>44746</v>
      </c>
      <c r="C103" s="1" t="n">
        <v>46196</v>
      </c>
      <c r="D103" t="inlineStr">
        <is>
          <t>SKÅNE LÄN</t>
        </is>
      </c>
      <c r="E103" t="inlineStr">
        <is>
          <t>PERSTORP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11701-2023</t>
        </is>
      </c>
      <c r="B104" s="1" t="n">
        <v>44992</v>
      </c>
      <c r="C104" s="1" t="n">
        <v>46196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14473-2024</t>
        </is>
      </c>
      <c r="B105" s="1" t="n">
        <v>45394</v>
      </c>
      <c r="C105" s="1" t="n">
        <v>46196</v>
      </c>
      <c r="D105" t="inlineStr">
        <is>
          <t>SKÅNE LÄN</t>
        </is>
      </c>
      <c r="E105" t="inlineStr">
        <is>
          <t>PERSTORP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47258-2021</t>
        </is>
      </c>
      <c r="B106" s="1" t="n">
        <v>44446</v>
      </c>
      <c r="C106" s="1" t="n">
        <v>46196</v>
      </c>
      <c r="D106" t="inlineStr">
        <is>
          <t>SKÅNE LÄN</t>
        </is>
      </c>
      <c r="E106" t="inlineStr">
        <is>
          <t>PERSTORP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61859-2023</t>
        </is>
      </c>
      <c r="B107" s="1" t="n">
        <v>45265</v>
      </c>
      <c r="C107" s="1" t="n">
        <v>46196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32201-2024</t>
        </is>
      </c>
      <c r="B108" s="1" t="n">
        <v>45511</v>
      </c>
      <c r="C108" s="1" t="n">
        <v>46196</v>
      </c>
      <c r="D108" t="inlineStr">
        <is>
          <t>SKÅNE LÄN</t>
        </is>
      </c>
      <c r="E108" t="inlineStr">
        <is>
          <t>PERSTORP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2026-06-23T04:34:26Z</dcterms:created>
  <dcterms:modified xmlns:dcterms="http://purl.org/dc/terms/" xmlns:xsi="http://www.w3.org/2001/XMLSchema-instance" xsi:type="dcterms:W3CDTF">2026-06-23T04:34:26Z</dcterms:modified>
</cp:coreProperties>
</file>