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33251-2026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46246</v>
      </c>
      <c r="E6" s="1" t="n">
        <v>46319</v>
      </c>
      <c r="F6" t="inlineStr">
        <is>
          <t>SKÅNE LÄN</t>
        </is>
      </c>
      <c r="G6" t="inlineStr">
        <is>
          <t>PERSTORP</t>
        </is>
      </c>
      <c r="H6" t="inlineStr">
        <is>
          <t>Övriga Aktiebolag</t>
        </is>
      </c>
      <c r="I6" t="n">
        <v>6.3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Blåbär</t>
        </is>
      </c>
      <c r="W6">
        <f>HYPERLINK("https://klasma.github.io/Logging_1275/artfynd/A 33251-2026 artfynd.xlsx", "A 33251-2026")</f>
        <v/>
      </c>
      <c r="X6">
        <f>HYPERLINK("https://klasma.github.io/Logging_1275/kartor/A 33251-2026 karta.png", "A 33251-2026")</f>
        <v/>
      </c>
      <c r="Y6">
        <f>HYPERLINK("https://klasma.github.io/Logging_1275/kartor_geotiff/A 33251-2026 georefererad karta.tif", "A 33251-2026")</f>
        <v/>
      </c>
      <c r="AA6">
        <f>HYPERLINK("https://klasma.github.io/Logging_1275/klagomål/A 33251-2026 FSC-klagomål.docx", "A 33251-2026")</f>
        <v/>
      </c>
      <c r="AB6">
        <f>HYPERLINK("https://klasma.github.io/Logging_1275/klagomålsmail/A 33251-2026 FSC-klagomål mail.docx", "A 33251-2026")</f>
        <v/>
      </c>
      <c r="AC6">
        <f>HYPERLINK("https://klasma.github.io/Logging_1275/tillsyn/A 33251-2026 tillsynsbegäran.docx", "A 33251-2026")</f>
        <v/>
      </c>
      <c r="AD6">
        <f>HYPERLINK("https://klasma.github.io/Logging_1275/tillsynsmail/A 33251-2026 tillsynsbegäran mail.docx", "A 33251-2026")</f>
        <v/>
      </c>
    </row>
    <row r="7" ht="15" customHeight="1">
      <c r="A7" t="inlineStr">
        <is>
          <t>A 145-2026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46020</v>
      </c>
      <c r="E7" s="1" t="n">
        <v>46319</v>
      </c>
      <c r="F7" t="inlineStr">
        <is>
          <t>SKÅNE LÄN</t>
        </is>
      </c>
      <c r="G7" t="inlineStr">
        <is>
          <t>PERSTORP</t>
        </is>
      </c>
      <c r="I7" t="n">
        <v>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Mattlummer</t>
        </is>
      </c>
      <c r="W7">
        <f>HYPERLINK("https://klasma.github.io/Logging_1275/artfynd/A 145-2026 artfynd.xlsx", "A 145-2026")</f>
        <v/>
      </c>
      <c r="X7">
        <f>HYPERLINK("https://klasma.github.io/Logging_1275/kartor/A 145-2026 karta.png", "A 145-2026")</f>
        <v/>
      </c>
      <c r="Y7">
        <f>HYPERLINK("https://klasma.github.io/Logging_1275/kartor_geotiff/A 145-2026 georefererad karta.tif", "A 145-2026")</f>
        <v/>
      </c>
      <c r="AA7">
        <f>HYPERLINK("https://klasma.github.io/Logging_1275/klagomål/A 145-2026 FSC-klagomål.docx", "A 145-2026")</f>
        <v/>
      </c>
      <c r="AB7">
        <f>HYPERLINK("https://klasma.github.io/Logging_1275/klagomålsmail/A 145-2026 FSC-klagomål mail.docx", "A 145-2026")</f>
        <v/>
      </c>
      <c r="AC7">
        <f>HYPERLINK("https://klasma.github.io/Logging_1275/tillsyn/A 145-2026 tillsynsbegäran.docx", "A 145-2026")</f>
        <v/>
      </c>
      <c r="AD7">
        <f>HYPERLINK("https://klasma.github.io/Logging_1275/tillsynsmail/A 145-2026 tillsynsbegäran mail.docx", "A 145-2026")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46319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46319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46319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46319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46319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46319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1164-2024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46319</v>
      </c>
      <c r="F14" t="inlineStr">
        <is>
          <t>SKÅNE LÄN</t>
        </is>
      </c>
      <c r="G14" t="inlineStr">
        <is>
          <t>PERSTORP</t>
        </is>
      </c>
      <c r="I14" t="n">
        <v>2.9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11669-2023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44992</v>
      </c>
      <c r="E15" s="1" t="n">
        <v>46319</v>
      </c>
      <c r="F15" t="inlineStr">
        <is>
          <t>SKÅNE LÄN</t>
        </is>
      </c>
      <c r="G15" t="inlineStr">
        <is>
          <t>PERSTORP</t>
        </is>
      </c>
      <c r="H15" t="inlineStr">
        <is>
          <t>Övriga Aktiebolag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51250-2024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45602</v>
      </c>
      <c r="E16" s="1" t="n">
        <v>46319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23874-2026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46319</v>
      </c>
      <c r="F17" t="inlineStr">
        <is>
          <t>SKÅNE LÄN</t>
        </is>
      </c>
      <c r="G17" t="inlineStr">
        <is>
          <t>PERSTORP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60506-2023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45259</v>
      </c>
      <c r="E18" s="1" t="n">
        <v>46319</v>
      </c>
      <c r="F18" t="inlineStr">
        <is>
          <t>SKÅNE LÄN</t>
        </is>
      </c>
      <c r="G18" t="inlineStr">
        <is>
          <t>PERSTORP</t>
        </is>
      </c>
      <c r="H18" t="inlineStr">
        <is>
          <t>Övriga Aktiebolag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46319</v>
      </c>
      <c r="F19" t="inlineStr">
        <is>
          <t>SKÅNE LÄN</t>
        </is>
      </c>
      <c r="G19" t="inlineStr">
        <is>
          <t>PERSTORP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14632-2024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45397</v>
      </c>
      <c r="E20" s="1" t="n">
        <v>46319</v>
      </c>
      <c r="F20" t="inlineStr">
        <is>
          <t>SKÅNE LÄN</t>
        </is>
      </c>
      <c r="G20" t="inlineStr">
        <is>
          <t>PERSTORP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46319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25487-2026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46319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52315-2024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45608</v>
      </c>
      <c r="E23" s="1" t="n">
        <v>46319</v>
      </c>
      <c r="F23" t="inlineStr">
        <is>
          <t>SKÅNE LÄN</t>
        </is>
      </c>
      <c r="G23" t="inlineStr">
        <is>
          <t>PERSTORP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7492-2025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46319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67669-2021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46319</v>
      </c>
      <c r="F25" t="inlineStr">
        <is>
          <t>SKÅNE LÄN</t>
        </is>
      </c>
      <c r="G25" t="inlineStr">
        <is>
          <t>PERSTORP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53875-2023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46319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46189</v>
      </c>
      <c r="E27" s="1" t="n">
        <v>46319</v>
      </c>
      <c r="F27" t="inlineStr">
        <is>
          <t>SKÅNE LÄN</t>
        </is>
      </c>
      <c r="G27" t="inlineStr">
        <is>
          <t>PERSTORP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23786-2023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45078</v>
      </c>
      <c r="E28" s="1" t="n">
        <v>46319</v>
      </c>
      <c r="F28" t="inlineStr">
        <is>
          <t>SKÅNE LÄN</t>
        </is>
      </c>
      <c r="G28" t="inlineStr">
        <is>
          <t>PERSTORP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46319</v>
      </c>
      <c r="F29" t="inlineStr">
        <is>
          <t>SKÅNE LÄN</t>
        </is>
      </c>
      <c r="G29" t="inlineStr">
        <is>
          <t>PERSTORP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46319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46319</v>
      </c>
      <c r="F31" t="inlineStr">
        <is>
          <t>SKÅNE LÄN</t>
        </is>
      </c>
      <c r="G31" t="inlineStr">
        <is>
          <t>PERSTORP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11720-2024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46319</v>
      </c>
      <c r="F32" t="inlineStr">
        <is>
          <t>SKÅNE LÄN</t>
        </is>
      </c>
      <c r="G32" t="inlineStr">
        <is>
          <t>PERSTORP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46319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8565-2023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46319</v>
      </c>
      <c r="F34" t="inlineStr">
        <is>
          <t>SKÅNE LÄN</t>
        </is>
      </c>
      <c r="G34" t="inlineStr">
        <is>
          <t>PERSTORP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45544</v>
      </c>
      <c r="E35" s="1" t="n">
        <v>46319</v>
      </c>
      <c r="F35" t="inlineStr">
        <is>
          <t>SKÅNE LÄN</t>
        </is>
      </c>
      <c r="G35" t="inlineStr">
        <is>
          <t>PERSTORP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57771-2025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45981</v>
      </c>
      <c r="E36" s="1" t="n">
        <v>46319</v>
      </c>
      <c r="F36" t="inlineStr">
        <is>
          <t>SKÅNE LÄN</t>
        </is>
      </c>
      <c r="G36" t="inlineStr">
        <is>
          <t>PERSTORP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16395-2023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45029</v>
      </c>
      <c r="E37" s="1" t="n">
        <v>46319</v>
      </c>
      <c r="F37" t="inlineStr">
        <is>
          <t>SKÅNE LÄN</t>
        </is>
      </c>
      <c r="G37" t="inlineStr">
        <is>
          <t>PERSTORP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46319</v>
      </c>
      <c r="F38" t="inlineStr">
        <is>
          <t>SKÅNE LÄN</t>
        </is>
      </c>
      <c r="G38" t="inlineStr">
        <is>
          <t>PERSTORP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45265</v>
      </c>
      <c r="E39" s="1" t="n">
        <v>46319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32201-2024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45511</v>
      </c>
      <c r="E40" s="1" t="n">
        <v>46319</v>
      </c>
      <c r="F40" t="inlineStr">
        <is>
          <t>SKÅNE LÄN</t>
        </is>
      </c>
      <c r="G40" t="inlineStr">
        <is>
          <t>PERSTORP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46319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982-2025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45666</v>
      </c>
      <c r="E42" s="1" t="n">
        <v>46319</v>
      </c>
      <c r="F42" t="inlineStr">
        <is>
          <t>SKÅNE LÄN</t>
        </is>
      </c>
      <c r="G42" t="inlineStr">
        <is>
          <t>PERSTORP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46319</v>
      </c>
      <c r="F43" t="inlineStr">
        <is>
          <t>SKÅNE LÄN</t>
        </is>
      </c>
      <c r="G43" t="inlineStr">
        <is>
          <t>PERSTORP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28370-2024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45477</v>
      </c>
      <c r="E44" s="1" t="n">
        <v>46319</v>
      </c>
      <c r="F44" t="inlineStr">
        <is>
          <t>SKÅNE LÄN</t>
        </is>
      </c>
      <c r="G44" t="inlineStr">
        <is>
          <t>PERSTORP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46319</v>
      </c>
      <c r="F45" t="inlineStr">
        <is>
          <t>SKÅNE LÄN</t>
        </is>
      </c>
      <c r="G45" t="inlineStr">
        <is>
          <t>PERSTORP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46319</v>
      </c>
      <c r="F46" t="inlineStr">
        <is>
          <t>SKÅNE LÄN</t>
        </is>
      </c>
      <c r="G46" t="inlineStr">
        <is>
          <t>PERSTORP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17321-2025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46319</v>
      </c>
      <c r="F47" t="inlineStr">
        <is>
          <t>SKÅNE LÄN</t>
        </is>
      </c>
      <c r="G47" t="inlineStr">
        <is>
          <t>PERSTORP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46247</v>
      </c>
      <c r="E48" s="1" t="n">
        <v>46319</v>
      </c>
      <c r="F48" t="inlineStr">
        <is>
          <t>SKÅNE LÄN</t>
        </is>
      </c>
      <c r="G48" t="inlineStr">
        <is>
          <t>PERSTORP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46319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46319</v>
      </c>
      <c r="F50" t="inlineStr">
        <is>
          <t>SKÅNE LÄN</t>
        </is>
      </c>
      <c r="G50" t="inlineStr">
        <is>
          <t>PERSTORP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45826</v>
      </c>
      <c r="E51" s="1" t="n">
        <v>46319</v>
      </c>
      <c r="F51" t="inlineStr">
        <is>
          <t>SKÅNE LÄN</t>
        </is>
      </c>
      <c r="G51" t="inlineStr">
        <is>
          <t>PERSTORP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46319</v>
      </c>
      <c r="F52" t="inlineStr">
        <is>
          <t>SKÅNE LÄN</t>
        </is>
      </c>
      <c r="G52" t="inlineStr">
        <is>
          <t>PERSTORP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46319</v>
      </c>
      <c r="F53" t="inlineStr">
        <is>
          <t>SKÅNE LÄN</t>
        </is>
      </c>
      <c r="G53" t="inlineStr">
        <is>
          <t>PERSTORP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46319</v>
      </c>
      <c r="F54" t="inlineStr">
        <is>
          <t>SKÅNE LÄN</t>
        </is>
      </c>
      <c r="G54" t="inlineStr">
        <is>
          <t>PERSTORP</t>
        </is>
      </c>
      <c r="H54" t="inlineStr">
        <is>
          <t>Kyrkan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46260</v>
      </c>
      <c r="E55" s="1" t="n">
        <v>46319</v>
      </c>
      <c r="F55" t="inlineStr">
        <is>
          <t>SKÅNE LÄN</t>
        </is>
      </c>
      <c r="G55" t="inlineStr">
        <is>
          <t>PERSTORP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42534-2026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46319</v>
      </c>
      <c r="F56" t="inlineStr">
        <is>
          <t>SKÅNE LÄN</t>
        </is>
      </c>
      <c r="G56" t="inlineStr">
        <is>
          <t>PERSTORP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46319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46319</v>
      </c>
      <c r="F58" t="inlineStr">
        <is>
          <t>SKÅNE LÄN</t>
        </is>
      </c>
      <c r="G58" t="inlineStr">
        <is>
          <t>PERSTORP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44939</v>
      </c>
      <c r="E59" s="1" t="n">
        <v>46319</v>
      </c>
      <c r="F59" t="inlineStr">
        <is>
          <t>SKÅNE LÄN</t>
        </is>
      </c>
      <c r="G59" t="inlineStr">
        <is>
          <t>PERSTORP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36225-2026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46319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46319</v>
      </c>
      <c r="F61" t="inlineStr">
        <is>
          <t>SKÅNE LÄN</t>
        </is>
      </c>
      <c r="G61" t="inlineStr">
        <is>
          <t>PERSTORP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45565</v>
      </c>
      <c r="E62" s="1" t="n">
        <v>46319</v>
      </c>
      <c r="F62" t="inlineStr">
        <is>
          <t>SKÅNE LÄN</t>
        </is>
      </c>
      <c r="G62" t="inlineStr">
        <is>
          <t>PERSTORP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45817</v>
      </c>
      <c r="E63" s="1" t="n">
        <v>46319</v>
      </c>
      <c r="F63" t="inlineStr">
        <is>
          <t>SKÅNE LÄN</t>
        </is>
      </c>
      <c r="G63" t="inlineStr">
        <is>
          <t>PERSTORP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46276</v>
      </c>
      <c r="E64" s="1" t="n">
        <v>46319</v>
      </c>
      <c r="F64" t="inlineStr">
        <is>
          <t>SKÅNE LÄN</t>
        </is>
      </c>
      <c r="G64" t="inlineStr">
        <is>
          <t>PERSTORP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45259</v>
      </c>
      <c r="E65" s="1" t="n">
        <v>46319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46149</v>
      </c>
      <c r="E66" s="1" t="n">
        <v>46319</v>
      </c>
      <c r="F66" t="inlineStr">
        <is>
          <t>SKÅNE LÄN</t>
        </is>
      </c>
      <c r="G66" t="inlineStr">
        <is>
          <t>PERSTORP</t>
        </is>
      </c>
      <c r="I66" t="n">
        <v>16.7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45314</v>
      </c>
      <c r="E67" s="1" t="n">
        <v>46319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46319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46319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46319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46319</v>
      </c>
      <c r="F71" t="inlineStr">
        <is>
          <t>SKÅNE LÄN</t>
        </is>
      </c>
      <c r="G71" t="inlineStr">
        <is>
          <t>PERSTORP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45078</v>
      </c>
      <c r="E72" s="1" t="n">
        <v>46319</v>
      </c>
      <c r="F72" t="inlineStr">
        <is>
          <t>SKÅNE LÄN</t>
        </is>
      </c>
      <c r="G72" t="inlineStr">
        <is>
          <t>PERSTORP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46319</v>
      </c>
      <c r="F73" t="inlineStr">
        <is>
          <t>SKÅNE LÄN</t>
        </is>
      </c>
      <c r="G73" t="inlineStr">
        <is>
          <t>PERSTORP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46319</v>
      </c>
      <c r="F74" t="inlineStr">
        <is>
          <t>SKÅNE LÄN</t>
        </is>
      </c>
      <c r="G74" t="inlineStr">
        <is>
          <t>PERSTORP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46319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46319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45733</v>
      </c>
      <c r="E77" s="1" t="n">
        <v>46319</v>
      </c>
      <c r="F77" t="inlineStr">
        <is>
          <t>SKÅNE LÄN</t>
        </is>
      </c>
      <c r="G77" t="inlineStr">
        <is>
          <t>PERSTORP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46319</v>
      </c>
      <c r="F78" t="inlineStr">
        <is>
          <t>SKÅNE LÄN</t>
        </is>
      </c>
      <c r="G78" t="inlineStr">
        <is>
          <t>PERSTORP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46319</v>
      </c>
      <c r="F79" t="inlineStr">
        <is>
          <t>SKÅNE LÄN</t>
        </is>
      </c>
      <c r="G79" t="inlineStr">
        <is>
          <t>PERSTORP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46319</v>
      </c>
      <c r="F80" t="inlineStr">
        <is>
          <t>SKÅNE LÄN</t>
        </is>
      </c>
      <c r="G80" t="inlineStr">
        <is>
          <t>PERSTORP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46319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46319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46319</v>
      </c>
      <c r="F83" t="inlineStr">
        <is>
          <t>SKÅNE LÄN</t>
        </is>
      </c>
      <c r="G83" t="inlineStr">
        <is>
          <t>PERSTORP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46319</v>
      </c>
      <c r="F84" t="inlineStr">
        <is>
          <t>SKÅNE LÄN</t>
        </is>
      </c>
      <c r="G84" t="inlineStr">
        <is>
          <t>PERSTORP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44981</v>
      </c>
      <c r="E85" s="1" t="n">
        <v>46319</v>
      </c>
      <c r="F85" t="inlineStr">
        <is>
          <t>SKÅNE LÄN</t>
        </is>
      </c>
      <c r="G85" t="inlineStr">
        <is>
          <t>PERSTORP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45702</v>
      </c>
      <c r="E86" s="1" t="n">
        <v>46319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46319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46319</v>
      </c>
      <c r="F88" t="inlineStr">
        <is>
          <t>SKÅNE LÄN</t>
        </is>
      </c>
      <c r="G88" t="inlineStr">
        <is>
          <t>PERSTORP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46319</v>
      </c>
      <c r="F89" t="inlineStr">
        <is>
          <t>SKÅNE LÄN</t>
        </is>
      </c>
      <c r="G89" t="inlineStr">
        <is>
          <t>PERSTORP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13267-2023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45003</v>
      </c>
      <c r="E90" s="1" t="n">
        <v>46319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28751-2024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46319</v>
      </c>
      <c r="F91" t="inlineStr">
        <is>
          <t>SKÅNE LÄN</t>
        </is>
      </c>
      <c r="G91" t="inlineStr">
        <is>
          <t>PERSTORP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46319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46319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52615-2023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46319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46319</v>
      </c>
      <c r="F95" t="inlineStr">
        <is>
          <t>SKÅNE LÄN</t>
        </is>
      </c>
      <c r="G95" t="inlineStr">
        <is>
          <t>PERSTORP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14473-2024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45394</v>
      </c>
      <c r="E96" s="1" t="n">
        <v>46319</v>
      </c>
      <c r="F96" t="inlineStr">
        <is>
          <t>SKÅNE LÄN</t>
        </is>
      </c>
      <c r="G96" t="inlineStr">
        <is>
          <t>PERSTORP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46319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46319</v>
      </c>
      <c r="F98" t="inlineStr">
        <is>
          <t>SKÅNE LÄN</t>
        </is>
      </c>
      <c r="G98" t="inlineStr">
        <is>
          <t>PERSTORP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46319</v>
      </c>
      <c r="F99" t="inlineStr">
        <is>
          <t>SKÅNE LÄN</t>
        </is>
      </c>
      <c r="G99" t="inlineStr">
        <is>
          <t>PERSTORP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44923</v>
      </c>
      <c r="E100" s="1" t="n">
        <v>46319</v>
      </c>
      <c r="F100" t="inlineStr">
        <is>
          <t>SKÅNE LÄN</t>
        </is>
      </c>
      <c r="G100" t="inlineStr">
        <is>
          <t>PERSTORP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44923</v>
      </c>
      <c r="E101" s="1" t="n">
        <v>46319</v>
      </c>
      <c r="F101" t="inlineStr">
        <is>
          <t>SKÅNE LÄN</t>
        </is>
      </c>
      <c r="G101" t="inlineStr">
        <is>
          <t>PERSTORP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46319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46319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45370</v>
      </c>
      <c r="E104" s="1" t="n">
        <v>46319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46319</v>
      </c>
      <c r="F105" t="inlineStr">
        <is>
          <t>SKÅNE LÄN</t>
        </is>
      </c>
      <c r="G105" t="inlineStr">
        <is>
          <t>PERSTORP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4688-2022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44592</v>
      </c>
      <c r="E106" s="1" t="n">
        <v>46319</v>
      </c>
      <c r="F106" t="inlineStr">
        <is>
          <t>SKÅNE LÄN</t>
        </is>
      </c>
      <c r="G106" t="inlineStr">
        <is>
          <t>PERSTORP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46319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46319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46319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46319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46319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46319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46319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46319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46319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46319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46319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46319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46319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46319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46319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46319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46319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46319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46319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46319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46319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46319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46319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46319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46319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46319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46319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46319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46319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46319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46319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2026-10-24T02:04:23Z</dcterms:created>
  <dcterms:modified xmlns:dcterms="http://purl.org/dc/terms/" xmlns:xsi="http://www.w3.org/2001/XMLSchema-instance" xsi:type="dcterms:W3CDTF">2026-10-24T02:04:23Z</dcterms:modified>
</cp:coreProperties>
</file>