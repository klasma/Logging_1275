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46218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s="2" t="inlineStr">
        <is>
          <t>Blåmossa
Brandticka
Guldlockmossa
Rostfläck
Strutbräken
Västlig hakmossa
Spillkråka
Kopparödla
Vanlig padda
Revlummer</t>
        </is>
      </c>
      <c r="V2">
        <f>HYPERLINK("https://klasma.github.io/Logging_1275/artfynd/S 1099-2024 artfynd.xlsx", "S 1099-2024")</f>
        <v/>
      </c>
      <c r="W2">
        <f>HYPERLINK("https://klasma.github.io/Logging_1275/kartor/S 1099-2024 karta.png", "S 1099-2024")</f>
        <v/>
      </c>
      <c r="Y2">
        <f>HYPERLINK("https://klasma.github.io/Logging_1275/klagomål/S 1099-2024 FSC-klagomål.docx", "S 1099-2024")</f>
        <v/>
      </c>
      <c r="Z2">
        <f>HYPERLINK("https://klasma.github.io/Logging_1275/klagomålsmail/S 1099-2024 FSC-klagomål mail.docx", "S 1099-2024")</f>
        <v/>
      </c>
      <c r="AA2">
        <f>HYPERLINK("https://klasma.github.io/Logging_1275/tillsyn/S 1099-2024 tillsynsbegäran.docx", "S 1099-2024")</f>
        <v/>
      </c>
      <c r="AB2">
        <f>HYPERLINK("https://klasma.github.io/Logging_1275/tillsynsmail/S 1099-2024 tillsynsbegäran mail.docx", "S 1099-2024")</f>
        <v/>
      </c>
      <c r="AC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46218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s="2" t="inlineStr">
        <is>
          <t>Entita
Västlig hakmossa
Kungsfågel
Skogsödla
Vanlig padda</t>
        </is>
      </c>
      <c r="V3">
        <f>HYPERLINK("https://klasma.github.io/Logging_1275/artfynd/A 36700-2025 artfynd.xlsx", "A 36700-2025")</f>
        <v/>
      </c>
      <c r="W3">
        <f>HYPERLINK("https://klasma.github.io/Logging_1275/kartor/A 36700-2025 karta.png", "A 36700-2025")</f>
        <v/>
      </c>
      <c r="Y3">
        <f>HYPERLINK("https://klasma.github.io/Logging_1275/klagomål/A 36700-2025 FSC-klagomål.docx", "A 36700-2025")</f>
        <v/>
      </c>
      <c r="Z3">
        <f>HYPERLINK("https://klasma.github.io/Logging_1275/klagomålsmail/A 36700-2025 FSC-klagomål mail.docx", "A 36700-2025")</f>
        <v/>
      </c>
      <c r="AA3">
        <f>HYPERLINK("https://klasma.github.io/Logging_1275/tillsyn/A 36700-2025 tillsynsbegäran.docx", "A 36700-2025")</f>
        <v/>
      </c>
      <c r="AB3">
        <f>HYPERLINK("https://klasma.github.io/Logging_1275/tillsynsmail/A 36700-2025 tillsynsbegäran mail.docx", "A 36700-2025")</f>
        <v/>
      </c>
      <c r="AC3">
        <f>HYPERLINK("https://klasma.github.io/Logging_1275/fåglar/A 36700-2025 prioriterade fågelarter.docx", "A 36700-2025")</f>
        <v/>
      </c>
    </row>
    <row r="4" ht="15" customHeight="1">
      <c r="A4" t="inlineStr">
        <is>
          <t>A 4989-2022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46218</v>
      </c>
      <c r="F4" t="inlineStr">
        <is>
          <t>SKÅNE LÄN</t>
        </is>
      </c>
      <c r="G4" t="inlineStr">
        <is>
          <t>PERSTORP</t>
        </is>
      </c>
      <c r="I4" t="n">
        <v>6.7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Spillkråka</t>
        </is>
      </c>
      <c r="V4">
        <f>HYPERLINK("https://klasma.github.io/Logging_1275/artfynd/A 4989-2022 artfynd.xlsx", "A 4989-2022")</f>
        <v/>
      </c>
      <c r="W4">
        <f>HYPERLINK("https://klasma.github.io/Logging_1275/kartor/A 4989-2022 karta.png", "A 4989-2022")</f>
        <v/>
      </c>
      <c r="Y4">
        <f>HYPERLINK("https://klasma.github.io/Logging_1275/klagomål/A 4989-2022 FSC-klagomål.docx", "A 4989-2022")</f>
        <v/>
      </c>
      <c r="Z4">
        <f>HYPERLINK("https://klasma.github.io/Logging_1275/klagomålsmail/A 4989-2022 FSC-klagomål mail.docx", "A 4989-2022")</f>
        <v/>
      </c>
      <c r="AA4">
        <f>HYPERLINK("https://klasma.github.io/Logging_1275/tillsyn/A 4989-2022 tillsynsbegäran.docx", "A 4989-2022")</f>
        <v/>
      </c>
      <c r="AB4">
        <f>HYPERLINK("https://klasma.github.io/Logging_1275/tillsynsmail/A 4989-2022 tillsynsbegäran mail.docx", "A 4989-2022")</f>
        <v/>
      </c>
      <c r="AC4">
        <f>HYPERLINK("https://klasma.github.io/Logging_1275/fåglar/A 4989-2022 prioriterade fågelarter.docx", "A 4989-2022")</f>
        <v/>
      </c>
    </row>
    <row r="5" ht="15" customHeight="1">
      <c r="A5" t="inlineStr">
        <is>
          <t>A 46195-2022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44845</v>
      </c>
      <c r="E5" s="1" t="n">
        <v>46218</v>
      </c>
      <c r="F5" t="inlineStr">
        <is>
          <t>SKÅNE LÄN</t>
        </is>
      </c>
      <c r="G5" t="inlineStr">
        <is>
          <t>PERSTORP</t>
        </is>
      </c>
      <c r="I5" t="n">
        <v>0.7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Brandticka</t>
        </is>
      </c>
      <c r="V5">
        <f>HYPERLINK("https://klasma.github.io/Logging_1275/artfynd/A 46195-2022 artfynd.xlsx", "A 46195-2022")</f>
        <v/>
      </c>
      <c r="W5">
        <f>HYPERLINK("https://klasma.github.io/Logging_1275/kartor/A 46195-2022 karta.png", "A 46195-2022")</f>
        <v/>
      </c>
      <c r="Y5">
        <f>HYPERLINK("https://klasma.github.io/Logging_1275/klagomål/A 46195-2022 FSC-klagomål.docx", "A 46195-2022")</f>
        <v/>
      </c>
      <c r="Z5">
        <f>HYPERLINK("https://klasma.github.io/Logging_1275/klagomålsmail/A 46195-2022 FSC-klagomål mail.docx", "A 46195-2022")</f>
        <v/>
      </c>
      <c r="AA5">
        <f>HYPERLINK("https://klasma.github.io/Logging_1275/tillsyn/A 46195-2022 tillsynsbegäran.docx", "A 46195-2022")</f>
        <v/>
      </c>
      <c r="AB5">
        <f>HYPERLINK("https://klasma.github.io/Logging_1275/tillsynsmail/A 46195-2022 tillsynsbegäran mail.docx", "A 46195-2022")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46218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s="2" t="inlineStr">
        <is>
          <t>Mattlummer</t>
        </is>
      </c>
      <c r="V6">
        <f>HYPERLINK("https://klasma.github.io/Logging_1275/artfynd/A 145-2026 artfynd.xlsx", "A 145-2026")</f>
        <v/>
      </c>
      <c r="W6">
        <f>HYPERLINK("https://klasma.github.io/Logging_1275/kartor/A 145-2026 karta.png", "A 145-2026")</f>
        <v/>
      </c>
      <c r="Y6">
        <f>HYPERLINK("https://klasma.github.io/Logging_1275/klagomål/A 145-2026 FSC-klagomål.docx", "A 145-2026")</f>
        <v/>
      </c>
      <c r="Z6">
        <f>HYPERLINK("https://klasma.github.io/Logging_1275/klagomålsmail/A 145-2026 FSC-klagomål mail.docx", "A 145-2026")</f>
        <v/>
      </c>
      <c r="AA6">
        <f>HYPERLINK("https://klasma.github.io/Logging_1275/tillsyn/A 145-2026 tillsynsbegäran.docx", "A 145-2026")</f>
        <v/>
      </c>
      <c r="AB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46218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Enkelbeckasin</t>
        </is>
      </c>
      <c r="V7">
        <f>HYPERLINK("https://klasma.github.io/Logging_1275/artfynd/S 1268-2023 artfynd.xlsx", "S 1268-2023")</f>
        <v/>
      </c>
      <c r="W7">
        <f>HYPERLINK("https://klasma.github.io/Logging_1275/kartor/S 1268-2023 karta.png", "S 1268-2023")</f>
        <v/>
      </c>
      <c r="Y7">
        <f>HYPERLINK("https://klasma.github.io/Logging_1275/klagomål/S 1268-2023 FSC-klagomål.docx", "S 1268-2023")</f>
        <v/>
      </c>
      <c r="Z7">
        <f>HYPERLINK("https://klasma.github.io/Logging_1275/klagomålsmail/S 1268-2023 FSC-klagomål mail.docx", "S 1268-2023")</f>
        <v/>
      </c>
      <c r="AA7">
        <f>HYPERLINK("https://klasma.github.io/Logging_1275/tillsyn/S 1268-2023 tillsynsbegäran.docx", "S 1268-2023")</f>
        <v/>
      </c>
      <c r="AB7">
        <f>HYPERLINK("https://klasma.github.io/Logging_1275/tillsynsmail/S 1268-2023 tillsynsbegäran mail.docx", "S 1268-2023")</f>
        <v/>
      </c>
      <c r="AC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46218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Buskskvätta</t>
        </is>
      </c>
      <c r="V8">
        <f>HYPERLINK("https://klasma.github.io/Logging_1275/artfynd/S 2466-2025 artfynd.xlsx", "S 2466-2025")</f>
        <v/>
      </c>
      <c r="W8">
        <f>HYPERLINK("https://klasma.github.io/Logging_1275/kartor/S 2466-2025 karta.png", "S 2466-2025")</f>
        <v/>
      </c>
      <c r="Y8">
        <f>HYPERLINK("https://klasma.github.io/Logging_1275/klagomål/S 2466-2025 FSC-klagomål.docx", "S 2466-2025")</f>
        <v/>
      </c>
      <c r="Z8">
        <f>HYPERLINK("https://klasma.github.io/Logging_1275/klagomålsmail/S 2466-2025 FSC-klagomål mail.docx", "S 2466-2025")</f>
        <v/>
      </c>
      <c r="AA8">
        <f>HYPERLINK("https://klasma.github.io/Logging_1275/tillsyn/S 2466-2025 tillsynsbegäran.docx", "S 2466-2025")</f>
        <v/>
      </c>
      <c r="AB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46218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Tibast</t>
        </is>
      </c>
      <c r="V9">
        <f>HYPERLINK("https://klasma.github.io/Logging_1275/artfynd/S 1516-2026 artfynd.xlsx", "S 1516-2026")</f>
        <v/>
      </c>
      <c r="W9">
        <f>HYPERLINK("https://klasma.github.io/Logging_1275/kartor/S 1516-2026 karta.png", "S 1516-2026")</f>
        <v/>
      </c>
      <c r="Y9">
        <f>HYPERLINK("https://klasma.github.io/Logging_1275/klagomål/S 1516-2026 FSC-klagomål.docx", "S 1516-2026")</f>
        <v/>
      </c>
      <c r="Z9">
        <f>HYPERLINK("https://klasma.github.io/Logging_1275/klagomålsmail/S 1516-2026 FSC-klagomål mail.docx", "S 1516-2026")</f>
        <v/>
      </c>
      <c r="AA9">
        <f>HYPERLINK("https://klasma.github.io/Logging_1275/tillsyn/S 1516-2026 tillsynsbegäran.docx", "S 1516-2026")</f>
        <v/>
      </c>
      <c r="AB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46218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46218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46218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46218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46218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46218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53784-2021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44469</v>
      </c>
      <c r="E16" s="1" t="n">
        <v>46218</v>
      </c>
      <c r="F16" t="inlineStr">
        <is>
          <t>SKÅNE LÄN</t>
        </is>
      </c>
      <c r="G16" t="inlineStr">
        <is>
          <t>PERSTORP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54305-2021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44472</v>
      </c>
      <c r="E17" s="1" t="n">
        <v>46218</v>
      </c>
      <c r="F17" t="inlineStr">
        <is>
          <t>SKÅNE LÄN</t>
        </is>
      </c>
      <c r="G17" t="inlineStr">
        <is>
          <t>PERSTORP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16337-2025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46218</v>
      </c>
      <c r="F18" t="inlineStr">
        <is>
          <t>SKÅNE LÄN</t>
        </is>
      </c>
      <c r="G18" t="inlineStr">
        <is>
          <t>PERSTORP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52729-2021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46218</v>
      </c>
      <c r="F19" t="inlineStr">
        <is>
          <t>SKÅNE LÄN</t>
        </is>
      </c>
      <c r="G19" t="inlineStr">
        <is>
          <t>PERSTORP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26501-2022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44739</v>
      </c>
      <c r="E20" s="1" t="n">
        <v>46218</v>
      </c>
      <c r="F20" t="inlineStr">
        <is>
          <t>SKÅNE LÄN</t>
        </is>
      </c>
      <c r="G20" t="inlineStr">
        <is>
          <t>PERSTORP</t>
        </is>
      </c>
      <c r="I20" t="n">
        <v>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2950-2023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44945</v>
      </c>
      <c r="E21" s="1" t="n">
        <v>46218</v>
      </c>
      <c r="F21" t="inlineStr">
        <is>
          <t>SKÅNE LÄN</t>
        </is>
      </c>
      <c r="G21" t="inlineStr">
        <is>
          <t>PERSTORP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28244-2022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46218</v>
      </c>
      <c r="F22" t="inlineStr">
        <is>
          <t>SKÅNE LÄN</t>
        </is>
      </c>
      <c r="G22" t="inlineStr">
        <is>
          <t>PERSTORP</t>
        </is>
      </c>
      <c r="I22" t="n">
        <v>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16395-2023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45029</v>
      </c>
      <c r="E23" s="1" t="n">
        <v>46218</v>
      </c>
      <c r="F23" t="inlineStr">
        <is>
          <t>SKÅNE LÄN</t>
        </is>
      </c>
      <c r="G23" t="inlineStr">
        <is>
          <t>PERSTORP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6948-2025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46218</v>
      </c>
      <c r="F24" t="inlineStr">
        <is>
          <t>SKÅNE LÄN</t>
        </is>
      </c>
      <c r="G24" t="inlineStr">
        <is>
          <t>PERSTORP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29874-2023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45107</v>
      </c>
      <c r="E25" s="1" t="n">
        <v>46218</v>
      </c>
      <c r="F25" t="inlineStr">
        <is>
          <t>SKÅNE LÄN</t>
        </is>
      </c>
      <c r="G25" t="inlineStr">
        <is>
          <t>PERSTORP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55416-2022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44882</v>
      </c>
      <c r="E26" s="1" t="n">
        <v>46218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52575-2023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45219</v>
      </c>
      <c r="E27" s="1" t="n">
        <v>46218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10.2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52583-2023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45219</v>
      </c>
      <c r="E28" s="1" t="n">
        <v>46218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7492-2025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45702</v>
      </c>
      <c r="E29" s="1" t="n">
        <v>46218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55410-2022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46218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23786-2023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45078</v>
      </c>
      <c r="E31" s="1" t="n">
        <v>46218</v>
      </c>
      <c r="F31" t="inlineStr">
        <is>
          <t>SKÅNE LÄN</t>
        </is>
      </c>
      <c r="G31" t="inlineStr">
        <is>
          <t>PERSTORP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52740-2024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45610</v>
      </c>
      <c r="E32" s="1" t="n">
        <v>46218</v>
      </c>
      <c r="F32" t="inlineStr">
        <is>
          <t>SKÅNE LÄN</t>
        </is>
      </c>
      <c r="G32" t="inlineStr">
        <is>
          <t>PERSTORP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38936-2023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46218</v>
      </c>
      <c r="F33" t="inlineStr">
        <is>
          <t>SKÅNE LÄN</t>
        </is>
      </c>
      <c r="G33" t="inlineStr">
        <is>
          <t>PERSTORP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8704-2024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46218</v>
      </c>
      <c r="F34" t="inlineStr">
        <is>
          <t>SKÅNE LÄN</t>
        </is>
      </c>
      <c r="G34" t="inlineStr">
        <is>
          <t>PERSTORP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53875-2023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45231</v>
      </c>
      <c r="E35" s="1" t="n">
        <v>46218</v>
      </c>
      <c r="F35" t="inlineStr">
        <is>
          <t>SKÅNE LÄN</t>
        </is>
      </c>
      <c r="G35" t="inlineStr">
        <is>
          <t>PERSTORP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42454-2024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45565</v>
      </c>
      <c r="E36" s="1" t="n">
        <v>46218</v>
      </c>
      <c r="F36" t="inlineStr">
        <is>
          <t>SKÅNE LÄN</t>
        </is>
      </c>
      <c r="G36" t="inlineStr">
        <is>
          <t>PERSTORP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23785-2023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46218</v>
      </c>
      <c r="F37" t="inlineStr">
        <is>
          <t>SKÅNE LÄN</t>
        </is>
      </c>
      <c r="G37" t="inlineStr">
        <is>
          <t>PERSTORP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51250-2024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46218</v>
      </c>
      <c r="F38" t="inlineStr">
        <is>
          <t>SKÅNE LÄN</t>
        </is>
      </c>
      <c r="G38" t="inlineStr">
        <is>
          <t>PERSTORP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2684-2024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45314</v>
      </c>
      <c r="E39" s="1" t="n">
        <v>46218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7043-2025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45701</v>
      </c>
      <c r="E40" s="1" t="n">
        <v>46218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45302</v>
      </c>
      <c r="E41" s="1" t="n">
        <v>46218</v>
      </c>
      <c r="F41" t="inlineStr">
        <is>
          <t>SKÅNE LÄN</t>
        </is>
      </c>
      <c r="G41" t="inlineStr">
        <is>
          <t>PERSTORP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11720-2024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46218</v>
      </c>
      <c r="F42" t="inlineStr">
        <is>
          <t>SKÅNE LÄN</t>
        </is>
      </c>
      <c r="G42" t="inlineStr">
        <is>
          <t>PERSTORP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67669-2021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44524</v>
      </c>
      <c r="E43" s="1" t="n">
        <v>46218</v>
      </c>
      <c r="F43" t="inlineStr">
        <is>
          <t>SKÅNE LÄN</t>
        </is>
      </c>
      <c r="G43" t="inlineStr">
        <is>
          <t>PERSTORP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14632-2024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45397</v>
      </c>
      <c r="E44" s="1" t="n">
        <v>46218</v>
      </c>
      <c r="F44" t="inlineStr">
        <is>
          <t>SKÅNE LÄN</t>
        </is>
      </c>
      <c r="G44" t="inlineStr">
        <is>
          <t>PERSTORP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38324-2023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45161</v>
      </c>
      <c r="E45" s="1" t="n">
        <v>46218</v>
      </c>
      <c r="F45" t="inlineStr">
        <is>
          <t>SKÅNE LÄN</t>
        </is>
      </c>
      <c r="G45" t="inlineStr">
        <is>
          <t>PERSTORP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46218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7510-2025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46218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60504-2023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45259</v>
      </c>
      <c r="E48" s="1" t="n">
        <v>46218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53586-2022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44875</v>
      </c>
      <c r="E49" s="1" t="n">
        <v>46218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12182-2022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46218</v>
      </c>
      <c r="F50" t="inlineStr">
        <is>
          <t>SKÅNE LÄN</t>
        </is>
      </c>
      <c r="G50" t="inlineStr">
        <is>
          <t>PERSTORP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28247-2022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46218</v>
      </c>
      <c r="F51" t="inlineStr">
        <is>
          <t>SKÅNE LÄN</t>
        </is>
      </c>
      <c r="G51" t="inlineStr">
        <is>
          <t>PERSTORP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8565-2023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46218</v>
      </c>
      <c r="F52" t="inlineStr">
        <is>
          <t>SKÅNE LÄN</t>
        </is>
      </c>
      <c r="G52" t="inlineStr">
        <is>
          <t>PERSTORP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52315-2024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45608</v>
      </c>
      <c r="E53" s="1" t="n">
        <v>46218</v>
      </c>
      <c r="F53" t="inlineStr">
        <is>
          <t>SKÅNE LÄN</t>
        </is>
      </c>
      <c r="G53" t="inlineStr">
        <is>
          <t>PERSTORP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11701-2023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46218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52615-2023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46218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14473-2024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45394</v>
      </c>
      <c r="E56" s="1" t="n">
        <v>46218</v>
      </c>
      <c r="F56" t="inlineStr">
        <is>
          <t>SKÅNE LÄN</t>
        </is>
      </c>
      <c r="G56" t="inlineStr">
        <is>
          <t>PERSTORP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62293-2022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44923</v>
      </c>
      <c r="E57" s="1" t="n">
        <v>46218</v>
      </c>
      <c r="F57" t="inlineStr">
        <is>
          <t>SKÅNE LÄN</t>
        </is>
      </c>
      <c r="G57" t="inlineStr">
        <is>
          <t>PERSTORP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47258-2021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46218</v>
      </c>
      <c r="F58" t="inlineStr">
        <is>
          <t>SKÅNE LÄN</t>
        </is>
      </c>
      <c r="G58" t="inlineStr">
        <is>
          <t>PERSTORP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61859-2023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46218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32201-2024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45511</v>
      </c>
      <c r="E60" s="1" t="n">
        <v>46218</v>
      </c>
      <c r="F60" t="inlineStr">
        <is>
          <t>SKÅNE LÄN</t>
        </is>
      </c>
      <c r="G60" t="inlineStr">
        <is>
          <t>PERSTORP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37890-2024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45544</v>
      </c>
      <c r="E61" s="1" t="n">
        <v>46218</v>
      </c>
      <c r="F61" t="inlineStr">
        <is>
          <t>SKÅNE LÄN</t>
        </is>
      </c>
      <c r="G61" t="inlineStr">
        <is>
          <t>PERSTORP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54095-2022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46218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45666</v>
      </c>
      <c r="E63" s="1" t="n">
        <v>46218</v>
      </c>
      <c r="F63" t="inlineStr">
        <is>
          <t>SKÅNE LÄN</t>
        </is>
      </c>
      <c r="G63" t="inlineStr">
        <is>
          <t>PERSTORP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28370-2024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45477</v>
      </c>
      <c r="E64" s="1" t="n">
        <v>46218</v>
      </c>
      <c r="F64" t="inlineStr">
        <is>
          <t>SKÅNE LÄN</t>
        </is>
      </c>
      <c r="G64" t="inlineStr">
        <is>
          <t>PERSTORP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28736-2024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45478</v>
      </c>
      <c r="E65" s="1" t="n">
        <v>46218</v>
      </c>
      <c r="F65" t="inlineStr">
        <is>
          <t>SKÅNE LÄN</t>
        </is>
      </c>
      <c r="G65" t="inlineStr">
        <is>
          <t>PERSTORP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7509-2025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46218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17321-2025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45756</v>
      </c>
      <c r="E67" s="1" t="n">
        <v>46218</v>
      </c>
      <c r="F67" t="inlineStr">
        <is>
          <t>SKÅNE LÄN</t>
        </is>
      </c>
      <c r="G67" t="inlineStr">
        <is>
          <t>PERSTORP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12911-2025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46218</v>
      </c>
      <c r="F68" t="inlineStr">
        <is>
          <t>SKÅNE LÄN</t>
        </is>
      </c>
      <c r="G68" t="inlineStr">
        <is>
          <t>PERSTORP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12912-2025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45733</v>
      </c>
      <c r="E69" s="1" t="n">
        <v>46218</v>
      </c>
      <c r="F69" t="inlineStr">
        <is>
          <t>SKÅNE LÄN</t>
        </is>
      </c>
      <c r="G69" t="inlineStr">
        <is>
          <t>PERSTORP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9368-2023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46218</v>
      </c>
      <c r="F70" t="inlineStr">
        <is>
          <t>SKÅNE LÄN</t>
        </is>
      </c>
      <c r="G70" t="inlineStr">
        <is>
          <t>PERSTORP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2015-2023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44939</v>
      </c>
      <c r="E71" s="1" t="n">
        <v>46218</v>
      </c>
      <c r="F71" t="inlineStr">
        <is>
          <t>SKÅNE LÄN</t>
        </is>
      </c>
      <c r="G71" t="inlineStr">
        <is>
          <t>PERSTORP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4688-2022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44592</v>
      </c>
      <c r="E72" s="1" t="n">
        <v>46218</v>
      </c>
      <c r="F72" t="inlineStr">
        <is>
          <t>SKÅNE LÄN</t>
        </is>
      </c>
      <c r="G72" t="inlineStr">
        <is>
          <t>PERSTORP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10742-2024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46218</v>
      </c>
      <c r="F73" t="inlineStr">
        <is>
          <t>SKÅNE LÄN</t>
        </is>
      </c>
      <c r="G73" t="inlineStr">
        <is>
          <t>PERSTORP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60501-2023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45259</v>
      </c>
      <c r="E74" s="1" t="n">
        <v>46218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60506-2023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45259</v>
      </c>
      <c r="E75" s="1" t="n">
        <v>46218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46737-2024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46218</v>
      </c>
      <c r="F76" t="inlineStr">
        <is>
          <t>SKÅNE LÄN</t>
        </is>
      </c>
      <c r="G76" t="inlineStr">
        <is>
          <t>PERSTORP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51207-2022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44868</v>
      </c>
      <c r="E77" s="1" t="n">
        <v>46218</v>
      </c>
      <c r="F77" t="inlineStr">
        <is>
          <t>SKÅNE LÄN</t>
        </is>
      </c>
      <c r="G77" t="inlineStr">
        <is>
          <t>PERSTORP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28751-2024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45478</v>
      </c>
      <c r="E78" s="1" t="n">
        <v>46218</v>
      </c>
      <c r="F78" t="inlineStr">
        <is>
          <t>SKÅNE LÄN</t>
        </is>
      </c>
      <c r="G78" t="inlineStr">
        <is>
          <t>PERSTORP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29867-2023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46218</v>
      </c>
      <c r="F79" t="inlineStr">
        <is>
          <t>SKÅNE LÄN</t>
        </is>
      </c>
      <c r="G79" t="inlineStr">
        <is>
          <t>PERSTORP</t>
        </is>
      </c>
      <c r="I79" t="n">
        <v>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38329-2023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45161</v>
      </c>
      <c r="E80" s="1" t="n">
        <v>46218</v>
      </c>
      <c r="F80" t="inlineStr">
        <is>
          <t>SKÅNE LÄN</t>
        </is>
      </c>
      <c r="G80" t="inlineStr">
        <is>
          <t>PERSTORP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8741-2024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46218</v>
      </c>
      <c r="F81" t="inlineStr">
        <is>
          <t>SKÅNE LÄN</t>
        </is>
      </c>
      <c r="G81" t="inlineStr">
        <is>
          <t>PERSTORP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60498-2023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45259</v>
      </c>
      <c r="E82" s="1" t="n">
        <v>46218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57771-2025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45981</v>
      </c>
      <c r="E83" s="1" t="n">
        <v>46218</v>
      </c>
      <c r="F83" t="inlineStr">
        <is>
          <t>SKÅNE LÄN</t>
        </is>
      </c>
      <c r="G83" t="inlineStr">
        <is>
          <t>PERSTORP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13267-2023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45003</v>
      </c>
      <c r="E84" s="1" t="n">
        <v>46218</v>
      </c>
      <c r="F84" t="inlineStr">
        <is>
          <t>SKÅNE LÄN</t>
        </is>
      </c>
      <c r="G84" t="inlineStr">
        <is>
          <t>PERSTORP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42435-2024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45565</v>
      </c>
      <c r="E85" s="1" t="n">
        <v>46218</v>
      </c>
      <c r="F85" t="inlineStr">
        <is>
          <t>SKÅNE LÄN</t>
        </is>
      </c>
      <c r="G85" t="inlineStr">
        <is>
          <t>PERSTORP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28097-2025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46218</v>
      </c>
      <c r="F86" t="inlineStr">
        <is>
          <t>SKÅNE LÄN</t>
        </is>
      </c>
      <c r="G86" t="inlineStr">
        <is>
          <t>PERSTORP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47289-2025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46218</v>
      </c>
      <c r="F87" t="inlineStr">
        <is>
          <t>SKÅNE LÄN</t>
        </is>
      </c>
      <c r="G87" t="inlineStr">
        <is>
          <t>PERSTORP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30063-2025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45826</v>
      </c>
      <c r="E88" s="1" t="n">
        <v>46218</v>
      </c>
      <c r="F88" t="inlineStr">
        <is>
          <t>SKÅNE LÄN</t>
        </is>
      </c>
      <c r="G88" t="inlineStr">
        <is>
          <t>PERSTORP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25867-2026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46178</v>
      </c>
      <c r="E89" s="1" t="n">
        <v>46218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21208-2023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45062</v>
      </c>
      <c r="E90" s="1" t="n">
        <v>46218</v>
      </c>
      <c r="F90" t="inlineStr">
        <is>
          <t>SKÅNE LÄN</t>
        </is>
      </c>
      <c r="G90" t="inlineStr">
        <is>
          <t>PERSTORP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35194-2023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46218</v>
      </c>
      <c r="F91" t="inlineStr">
        <is>
          <t>SKÅNE LÄN</t>
        </is>
      </c>
      <c r="G91" t="inlineStr">
        <is>
          <t>PERSTORP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1164-2024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45302</v>
      </c>
      <c r="E92" s="1" t="n">
        <v>46218</v>
      </c>
      <c r="F92" t="inlineStr">
        <is>
          <t>SKÅNE LÄN</t>
        </is>
      </c>
      <c r="G92" t="inlineStr">
        <is>
          <t>PERSTORP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11669-2023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46218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27465-2026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46189</v>
      </c>
      <c r="E94" s="1" t="n">
        <v>46218</v>
      </c>
      <c r="F94" t="inlineStr">
        <is>
          <t>SKÅNE LÄN</t>
        </is>
      </c>
      <c r="G94" t="inlineStr">
        <is>
          <t>PERSTORP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52617-2023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46218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21733-2026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46149</v>
      </c>
      <c r="E96" s="1" t="n">
        <v>46218</v>
      </c>
      <c r="F96" t="inlineStr">
        <is>
          <t>SKÅNE LÄN</t>
        </is>
      </c>
      <c r="G96" t="inlineStr">
        <is>
          <t>PERSTORP</t>
        </is>
      </c>
      <c r="I96" t="n">
        <v>16.7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38328-2023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46218</v>
      </c>
      <c r="F97" t="inlineStr">
        <is>
          <t>SKÅNE LÄN</t>
        </is>
      </c>
      <c r="G97" t="inlineStr">
        <is>
          <t>PERSTORP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46034</v>
      </c>
      <c r="E98" s="1" t="n">
        <v>46218</v>
      </c>
      <c r="F98" t="inlineStr">
        <is>
          <t>SKÅNE LÄN</t>
        </is>
      </c>
      <c r="G98" t="inlineStr">
        <is>
          <t>PERSTORP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54647-2023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45235</v>
      </c>
      <c r="E99" s="1" t="n">
        <v>46218</v>
      </c>
      <c r="F99" t="inlineStr">
        <is>
          <t>SKÅNE LÄN</t>
        </is>
      </c>
      <c r="G99" t="inlineStr">
        <is>
          <t>PERSTORP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31802-2023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45106</v>
      </c>
      <c r="E100" s="1" t="n">
        <v>46218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16331-2025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45751</v>
      </c>
      <c r="E101" s="1" t="n">
        <v>46218</v>
      </c>
      <c r="F101" t="inlineStr">
        <is>
          <t>SKÅNE LÄN</t>
        </is>
      </c>
      <c r="G101" t="inlineStr">
        <is>
          <t>PERSTORP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46043</v>
      </c>
      <c r="E102" s="1" t="n">
        <v>46218</v>
      </c>
      <c r="F102" t="inlineStr">
        <is>
          <t>SKÅNE LÄN</t>
        </is>
      </c>
      <c r="G102" t="inlineStr">
        <is>
          <t>PERSTORP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46200-2022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44845</v>
      </c>
      <c r="E103" s="1" t="n">
        <v>46218</v>
      </c>
      <c r="F103" t="inlineStr">
        <is>
          <t>SKÅNE LÄN</t>
        </is>
      </c>
      <c r="G103" t="inlineStr">
        <is>
          <t>PERSTORP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10941-2024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45370</v>
      </c>
      <c r="E104" s="1" t="n">
        <v>46218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62296-2022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46218</v>
      </c>
      <c r="F105" t="inlineStr">
        <is>
          <t>SKÅNE LÄN</t>
        </is>
      </c>
      <c r="G105" t="inlineStr">
        <is>
          <t>PERSTORP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23874-2026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46167</v>
      </c>
      <c r="E106" s="1" t="n">
        <v>46218</v>
      </c>
      <c r="F106" t="inlineStr">
        <is>
          <t>SKÅNE LÄN</t>
        </is>
      </c>
      <c r="G106" t="inlineStr">
        <is>
          <t>PERSTORP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13818-2026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46098</v>
      </c>
      <c r="E107" s="1" t="n">
        <v>46218</v>
      </c>
      <c r="F107" t="inlineStr">
        <is>
          <t>SKÅNE LÄN</t>
        </is>
      </c>
      <c r="G107" t="inlineStr">
        <is>
          <t>PERSTORP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18947-2026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46218</v>
      </c>
      <c r="F108" t="inlineStr">
        <is>
          <t>SKÅNE LÄN</t>
        </is>
      </c>
      <c r="G108" t="inlineStr">
        <is>
          <t>PERSTORP</t>
        </is>
      </c>
      <c r="H108" t="inlineStr">
        <is>
          <t>Kyrkan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25487-2026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46218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46218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46218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46218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46218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46218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46218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46218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46218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46218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46218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46218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46218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46218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46218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46218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46218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46218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46218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46218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46218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46218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46218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46218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46218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46218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46218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46218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46218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46218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46218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46218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46218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46218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46218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2026-07-15T01:25:18Z</dcterms:created>
  <dcterms:modified xmlns:dcterms="http://purl.org/dc/terms/" xmlns:xsi="http://www.w3.org/2001/XMLSchema-instance" xsi:type="dcterms:W3CDTF">2026-07-15T01:25:18Z</dcterms:modified>
</cp:coreProperties>
</file>