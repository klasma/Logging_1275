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46317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46317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46317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46317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46317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A 33251-2026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46246</v>
      </c>
      <c r="E7" s="1" t="n">
        <v>46317</v>
      </c>
      <c r="F7" t="inlineStr">
        <is>
          <t>SKÅNE LÄN</t>
        </is>
      </c>
      <c r="G7" t="inlineStr">
        <is>
          <t>PERSTORP</t>
        </is>
      </c>
      <c r="H7" t="inlineStr">
        <is>
          <t>Övriga Aktiebolag</t>
        </is>
      </c>
      <c r="I7" t="n">
        <v>6.3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Blåbär</t>
        </is>
      </c>
      <c r="W7">
        <f>HYPERLINK("https://klasma.github.io/Logging_1275/artfynd/A 33251-2026 artfynd.xlsx", "A 33251-2026")</f>
        <v/>
      </c>
      <c r="X7">
        <f>HYPERLINK("https://klasma.github.io/Logging_1275/kartor/A 33251-2026 karta.png", "A 33251-2026")</f>
        <v/>
      </c>
      <c r="Y7">
        <f>HYPERLINK("https://klasma.github.io/Logging_1275/kartor_geotiff/A 33251-2026 georefererad karta.tif", "A 33251-2026")</f>
        <v/>
      </c>
      <c r="AA7">
        <f>HYPERLINK("https://klasma.github.io/Logging_1275/klagomål/A 33251-2026 FSC-klagomål.docx", "A 33251-2026")</f>
        <v/>
      </c>
      <c r="AB7">
        <f>HYPERLINK("https://klasma.github.io/Logging_1275/klagomålsmail/A 33251-2026 FSC-klagomål mail.docx", "A 33251-2026")</f>
        <v/>
      </c>
      <c r="AC7">
        <f>HYPERLINK("https://klasma.github.io/Logging_1275/tillsyn/A 33251-2026 tillsynsbegäran.docx", "A 33251-2026")</f>
        <v/>
      </c>
      <c r="AD7">
        <f>HYPERLINK("https://klasma.github.io/Logging_1275/tillsynsmail/A 33251-2026 tillsynsbegäran mail.docx", "A 33251-2026")</f>
        <v/>
      </c>
    </row>
    <row r="8" ht="15" customHeight="1">
      <c r="A8" t="inlineStr">
        <is>
          <t>S 1268-2023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45029</v>
      </c>
      <c r="E8" s="1" t="n">
        <v>46317</v>
      </c>
      <c r="F8" t="inlineStr">
        <is>
          <t>SKÅNE LÄN</t>
        </is>
      </c>
      <c r="G8" t="inlineStr">
        <is>
          <t>PERSTORP</t>
        </is>
      </c>
      <c r="I8" t="n">
        <v>21.7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Enkelbeckasin</t>
        </is>
      </c>
      <c r="W8">
        <f>HYPERLINK("https://klasma.github.io/Logging_1275/artfynd/S 1268-2023 artfynd.xlsx", "S 1268-2023")</f>
        <v/>
      </c>
      <c r="X8">
        <f>HYPERLINK("https://klasma.github.io/Logging_1275/kartor/S 1268-2023 karta.png", "S 1268-2023")</f>
        <v/>
      </c>
      <c r="Y8">
        <f>HYPERLINK("https://klasma.github.io/Logging_1275/kartor_geotiff/S 1268-2023 georefererad karta.tif", "S 1268-2023")</f>
        <v/>
      </c>
      <c r="AA8">
        <f>HYPERLINK("https://klasma.github.io/Logging_1275/klagomål/S 1268-2023 FSC-klagomål.docx", "S 1268-2023")</f>
        <v/>
      </c>
      <c r="AB8">
        <f>HYPERLINK("https://klasma.github.io/Logging_1275/klagomålsmail/S 1268-2023 FSC-klagomål mail.docx", "S 1268-2023")</f>
        <v/>
      </c>
      <c r="AC8">
        <f>HYPERLINK("https://klasma.github.io/Logging_1275/tillsyn/S 1268-2023 tillsynsbegäran.docx", "S 1268-2023")</f>
        <v/>
      </c>
      <c r="AD8">
        <f>HYPERLINK("https://klasma.github.io/Logging_1275/tillsynsmail/S 1268-2023 tillsynsbegäran mail.docx", "S 1268-2023")</f>
        <v/>
      </c>
      <c r="AE8">
        <f>HYPERLINK("https://klasma.github.io/Logging_1275/fåglar/S 1268-2023 prioriterade fågelarter.docx", "S 1268-2023")</f>
        <v/>
      </c>
    </row>
    <row r="9" ht="15" customHeight="1">
      <c r="A9" t="inlineStr">
        <is>
          <t>S 2466-2025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45901</v>
      </c>
      <c r="E9" s="1" t="n">
        <v>46317</v>
      </c>
      <c r="F9" t="inlineStr">
        <is>
          <t>SKÅNE LÄN</t>
        </is>
      </c>
      <c r="G9" t="inlineStr">
        <is>
          <t>PERSTORP</t>
        </is>
      </c>
      <c r="I9" t="n">
        <v>23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Buskskvätta</t>
        </is>
      </c>
      <c r="W9">
        <f>HYPERLINK("https://klasma.github.io/Logging_1275/artfynd/S 2466-2025 artfynd.xlsx", "S 2466-2025")</f>
        <v/>
      </c>
      <c r="X9">
        <f>HYPERLINK("https://klasma.github.io/Logging_1275/kartor/S 2466-2025 karta.png", "S 2466-2025")</f>
        <v/>
      </c>
      <c r="Y9">
        <f>HYPERLINK("https://klasma.github.io/Logging_1275/kartor_geotiff/S 2466-2025 georefererad karta.tif", "S 2466-2025")</f>
        <v/>
      </c>
      <c r="AA9">
        <f>HYPERLINK("https://klasma.github.io/Logging_1275/klagomål/S 2466-2025 FSC-klagomål.docx", "S 2466-2025")</f>
        <v/>
      </c>
      <c r="AB9">
        <f>HYPERLINK("https://klasma.github.io/Logging_1275/klagomålsmail/S 2466-2025 FSC-klagomål mail.docx", "S 2466-2025")</f>
        <v/>
      </c>
      <c r="AC9">
        <f>HYPERLINK("https://klasma.github.io/Logging_1275/tillsyn/S 2466-2025 tillsynsbegäran.docx", "S 2466-2025")</f>
        <v/>
      </c>
      <c r="AD9">
        <f>HYPERLINK("https://klasma.github.io/Logging_1275/tillsynsmail/S 2466-2025 tillsynsbegäran mail.docx", "S 2466-2025")</f>
        <v/>
      </c>
    </row>
    <row r="10" ht="15" customHeight="1">
      <c r="A10" t="inlineStr">
        <is>
          <t>S 1516-2026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46164</v>
      </c>
      <c r="E10" s="1" t="n">
        <v>46317</v>
      </c>
      <c r="F10" t="inlineStr">
        <is>
          <t>SKÅNE LÄN</t>
        </is>
      </c>
      <c r="G10" t="inlineStr">
        <is>
          <t>PERSTORP</t>
        </is>
      </c>
      <c r="I10" t="n">
        <v>43.2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Tibast</t>
        </is>
      </c>
      <c r="W10">
        <f>HYPERLINK("https://klasma.github.io/Logging_1275/artfynd/S 1516-2026 artfynd.xlsx", "S 1516-2026")</f>
        <v/>
      </c>
      <c r="X10">
        <f>HYPERLINK("https://klasma.github.io/Logging_1275/kartor/S 1516-2026 karta.png", "S 1516-2026")</f>
        <v/>
      </c>
      <c r="Y10">
        <f>HYPERLINK("https://klasma.github.io/Logging_1275/kartor_geotiff/S 1516-2026 georefererad karta.tif", "S 1516-2026")</f>
        <v/>
      </c>
      <c r="AA10">
        <f>HYPERLINK("https://klasma.github.io/Logging_1275/klagomål/S 1516-2026 FSC-klagomål.docx", "S 1516-2026")</f>
        <v/>
      </c>
      <c r="AB10">
        <f>HYPERLINK("https://klasma.github.io/Logging_1275/klagomålsmail/S 1516-2026 FSC-klagomål mail.docx", "S 1516-2026")</f>
        <v/>
      </c>
      <c r="AC10">
        <f>HYPERLINK("https://klasma.github.io/Logging_1275/tillsyn/S 1516-2026 tillsynsbegäran.docx", "S 1516-2026")</f>
        <v/>
      </c>
      <c r="AD10">
        <f>HYPERLINK("https://klasma.github.io/Logging_1275/tillsynsmail/S 1516-2026 tillsynsbegäran mail.docx", "S 1516-2026")</f>
        <v/>
      </c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46317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46317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26501-2022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44739</v>
      </c>
      <c r="E13" s="1" t="n">
        <v>46317</v>
      </c>
      <c r="F13" t="inlineStr">
        <is>
          <t>SKÅNE LÄN</t>
        </is>
      </c>
      <c r="G13" t="inlineStr">
        <is>
          <t>PERSTORP</t>
        </is>
      </c>
      <c r="I13" t="n">
        <v>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46200-2022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44845</v>
      </c>
      <c r="E14" s="1" t="n">
        <v>46317</v>
      </c>
      <c r="F14" t="inlineStr">
        <is>
          <t>SKÅNE LÄN</t>
        </is>
      </c>
      <c r="G14" t="inlineStr">
        <is>
          <t>PERSTORP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1166-2024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46317</v>
      </c>
      <c r="F15" t="inlineStr">
        <is>
          <t>SKÅNE LÄN</t>
        </is>
      </c>
      <c r="G15" t="inlineStr">
        <is>
          <t>PERSTORP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45666</v>
      </c>
      <c r="E16" s="1" t="n">
        <v>46317</v>
      </c>
      <c r="F16" t="inlineStr">
        <is>
          <t>SKÅNE LÄN</t>
        </is>
      </c>
      <c r="G16" t="inlineStr">
        <is>
          <t>PERSTORP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28736-2024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45478</v>
      </c>
      <c r="E17" s="1" t="n">
        <v>46317</v>
      </c>
      <c r="F17" t="inlineStr">
        <is>
          <t>SKÅNE LÄN</t>
        </is>
      </c>
      <c r="G17" t="inlineStr">
        <is>
          <t>PERSTORP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28370-2024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45477</v>
      </c>
      <c r="E18" s="1" t="n">
        <v>46317</v>
      </c>
      <c r="F18" t="inlineStr">
        <is>
          <t>SKÅNE LÄN</t>
        </is>
      </c>
      <c r="G18" t="inlineStr">
        <is>
          <t>PERSTORP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17321-2025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45756</v>
      </c>
      <c r="E19" s="1" t="n">
        <v>46317</v>
      </c>
      <c r="F19" t="inlineStr">
        <is>
          <t>SKÅNE LÄN</t>
        </is>
      </c>
      <c r="G19" t="inlineStr">
        <is>
          <t>PERSTORP</t>
        </is>
      </c>
      <c r="I19" t="n">
        <v>2.5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54647-2023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45235</v>
      </c>
      <c r="E20" s="1" t="n">
        <v>46317</v>
      </c>
      <c r="F20" t="inlineStr">
        <is>
          <t>SKÅNE LÄN</t>
        </is>
      </c>
      <c r="G20" t="inlineStr">
        <is>
          <t>PERSTORP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51207-2022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44868</v>
      </c>
      <c r="E21" s="1" t="n">
        <v>46317</v>
      </c>
      <c r="F21" t="inlineStr">
        <is>
          <t>SKÅNE LÄN</t>
        </is>
      </c>
      <c r="G21" t="inlineStr">
        <is>
          <t>PERSTORP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51250-2024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45602</v>
      </c>
      <c r="E22" s="1" t="n">
        <v>46317</v>
      </c>
      <c r="F22" t="inlineStr">
        <is>
          <t>SKÅNE LÄN</t>
        </is>
      </c>
      <c r="G22" t="inlineStr">
        <is>
          <t>PERSTORP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53586-2022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44875</v>
      </c>
      <c r="E23" s="1" t="n">
        <v>46317</v>
      </c>
      <c r="F23" t="inlineStr">
        <is>
          <t>SKÅNE LÄN</t>
        </is>
      </c>
      <c r="G23" t="inlineStr">
        <is>
          <t>PERSTORP</t>
        </is>
      </c>
      <c r="H23" t="inlineStr">
        <is>
          <t>Övriga Aktiebolag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2015-2023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44939</v>
      </c>
      <c r="E24" s="1" t="n">
        <v>46317</v>
      </c>
      <c r="F24" t="inlineStr">
        <is>
          <t>SKÅNE LÄN</t>
        </is>
      </c>
      <c r="G24" t="inlineStr">
        <is>
          <t>PERSTORP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1538-2026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46034</v>
      </c>
      <c r="E25" s="1" t="n">
        <v>46317</v>
      </c>
      <c r="F25" t="inlineStr">
        <is>
          <t>SKÅNE LÄN</t>
        </is>
      </c>
      <c r="G25" t="inlineStr">
        <is>
          <t>PERSTORP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30063-2025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45826</v>
      </c>
      <c r="E26" s="1" t="n">
        <v>46317</v>
      </c>
      <c r="F26" t="inlineStr">
        <is>
          <t>SKÅNE LÄN</t>
        </is>
      </c>
      <c r="G26" t="inlineStr">
        <is>
          <t>PERSTORP</t>
        </is>
      </c>
      <c r="I26" t="n">
        <v>4.5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12182-2022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44636</v>
      </c>
      <c r="E27" s="1" t="n">
        <v>46317</v>
      </c>
      <c r="F27" t="inlineStr">
        <is>
          <t>SKÅNE LÄN</t>
        </is>
      </c>
      <c r="G27" t="inlineStr">
        <is>
          <t>PERSTORP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52315-2024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45608</v>
      </c>
      <c r="E28" s="1" t="n">
        <v>46317</v>
      </c>
      <c r="F28" t="inlineStr">
        <is>
          <t>SKÅNE LÄN</t>
        </is>
      </c>
      <c r="G28" t="inlineStr">
        <is>
          <t>PERSTORP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60501-2023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45259</v>
      </c>
      <c r="E29" s="1" t="n">
        <v>46317</v>
      </c>
      <c r="F29" t="inlineStr">
        <is>
          <t>SKÅNE LÄN</t>
        </is>
      </c>
      <c r="G29" t="inlineStr">
        <is>
          <t>PERSTORP</t>
        </is>
      </c>
      <c r="H29" t="inlineStr">
        <is>
          <t>Övriga Aktiebolag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3661-2026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46043</v>
      </c>
      <c r="E30" s="1" t="n">
        <v>46317</v>
      </c>
      <c r="F30" t="inlineStr">
        <is>
          <t>SKÅNE LÄN</t>
        </is>
      </c>
      <c r="G30" t="inlineStr">
        <is>
          <t>PERSTORP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45314</v>
      </c>
      <c r="E31" s="1" t="n">
        <v>46317</v>
      </c>
      <c r="F31" t="inlineStr">
        <is>
          <t>SKÅNE LÄN</t>
        </is>
      </c>
      <c r="G31" t="inlineStr">
        <is>
          <t>PERSTORP</t>
        </is>
      </c>
      <c r="H31" t="inlineStr">
        <is>
          <t>Övriga Aktiebolag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57771-2025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45981</v>
      </c>
      <c r="E32" s="1" t="n">
        <v>46317</v>
      </c>
      <c r="F32" t="inlineStr">
        <is>
          <t>SKÅNE LÄN</t>
        </is>
      </c>
      <c r="G32" t="inlineStr">
        <is>
          <t>PERSTORP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38329-2023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46317</v>
      </c>
      <c r="F33" t="inlineStr">
        <is>
          <t>SKÅNE LÄN</t>
        </is>
      </c>
      <c r="G33" t="inlineStr">
        <is>
          <t>PERSTORP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45701</v>
      </c>
      <c r="E34" s="1" t="n">
        <v>46317</v>
      </c>
      <c r="F34" t="inlineStr">
        <is>
          <t>SKÅNE LÄN</t>
        </is>
      </c>
      <c r="G34" t="inlineStr">
        <is>
          <t>PERSTORP</t>
        </is>
      </c>
      <c r="H34" t="inlineStr">
        <is>
          <t>Övriga Aktiebolag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52617-2023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45219</v>
      </c>
      <c r="E35" s="1" t="n">
        <v>46317</v>
      </c>
      <c r="F35" t="inlineStr">
        <is>
          <t>SKÅNE LÄN</t>
        </is>
      </c>
      <c r="G35" t="inlineStr">
        <is>
          <t>PERSTORP</t>
        </is>
      </c>
      <c r="H35" t="inlineStr">
        <is>
          <t>Övriga Aktiebolag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28244-2022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44746</v>
      </c>
      <c r="E36" s="1" t="n">
        <v>46317</v>
      </c>
      <c r="F36" t="inlineStr">
        <is>
          <t>SKÅNE LÄN</t>
        </is>
      </c>
      <c r="G36" t="inlineStr">
        <is>
          <t>PERSTORP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13818-2026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46317</v>
      </c>
      <c r="F37" t="inlineStr">
        <is>
          <t>SKÅNE LÄN</t>
        </is>
      </c>
      <c r="G37" t="inlineStr">
        <is>
          <t>PERSTORP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23785-2023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46317</v>
      </c>
      <c r="F38" t="inlineStr">
        <is>
          <t>SKÅNE LÄN</t>
        </is>
      </c>
      <c r="G38" t="inlineStr">
        <is>
          <t>PERSTORP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46737-2024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45583</v>
      </c>
      <c r="E39" s="1" t="n">
        <v>46317</v>
      </c>
      <c r="F39" t="inlineStr">
        <is>
          <t>SKÅNE LÄN</t>
        </is>
      </c>
      <c r="G39" t="inlineStr">
        <is>
          <t>PERSTORP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16337-2025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45751</v>
      </c>
      <c r="E40" s="1" t="n">
        <v>46317</v>
      </c>
      <c r="F40" t="inlineStr">
        <is>
          <t>SKÅNE LÄN</t>
        </is>
      </c>
      <c r="G40" t="inlineStr">
        <is>
          <t>PERSTORP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16331-2025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45751</v>
      </c>
      <c r="E41" s="1" t="n">
        <v>46317</v>
      </c>
      <c r="F41" t="inlineStr">
        <is>
          <t>SKÅNE LÄN</t>
        </is>
      </c>
      <c r="G41" t="inlineStr">
        <is>
          <t>PERSTORP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60498-2023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45259</v>
      </c>
      <c r="E42" s="1" t="n">
        <v>46317</v>
      </c>
      <c r="F42" t="inlineStr">
        <is>
          <t>SKÅNE LÄN</t>
        </is>
      </c>
      <c r="G42" t="inlineStr">
        <is>
          <t>PERSTORP</t>
        </is>
      </c>
      <c r="H42" t="inlineStr">
        <is>
          <t>Övriga Aktiebolag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12911-2025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45733</v>
      </c>
      <c r="E43" s="1" t="n">
        <v>46317</v>
      </c>
      <c r="F43" t="inlineStr">
        <is>
          <t>SKÅNE LÄN</t>
        </is>
      </c>
      <c r="G43" t="inlineStr">
        <is>
          <t>PERSTORP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12912-2025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45733</v>
      </c>
      <c r="E44" s="1" t="n">
        <v>46317</v>
      </c>
      <c r="F44" t="inlineStr">
        <is>
          <t>SKÅNE LÄN</t>
        </is>
      </c>
      <c r="G44" t="inlineStr">
        <is>
          <t>PERSTORP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18947-2026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46127</v>
      </c>
      <c r="E45" s="1" t="n">
        <v>46317</v>
      </c>
      <c r="F45" t="inlineStr">
        <is>
          <t>SKÅNE LÄN</t>
        </is>
      </c>
      <c r="G45" t="inlineStr">
        <is>
          <t>PERSTORP</t>
        </is>
      </c>
      <c r="H45" t="inlineStr">
        <is>
          <t>Kyrkan</t>
        </is>
      </c>
      <c r="I45" t="n">
        <v>6.1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38324-2023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45161</v>
      </c>
      <c r="E46" s="1" t="n">
        <v>46317</v>
      </c>
      <c r="F46" t="inlineStr">
        <is>
          <t>SKÅNE LÄN</t>
        </is>
      </c>
      <c r="G46" t="inlineStr">
        <is>
          <t>PERSTORP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8704-2024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45356</v>
      </c>
      <c r="E47" s="1" t="n">
        <v>46317</v>
      </c>
      <c r="F47" t="inlineStr">
        <is>
          <t>SKÅNE LÄN</t>
        </is>
      </c>
      <c r="G47" t="inlineStr">
        <is>
          <t>PERSTORP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21208-2023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45062</v>
      </c>
      <c r="E48" s="1" t="n">
        <v>46317</v>
      </c>
      <c r="F48" t="inlineStr">
        <is>
          <t>SKÅNE LÄN</t>
        </is>
      </c>
      <c r="G48" t="inlineStr">
        <is>
          <t>PERSTORP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47289-2025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45930</v>
      </c>
      <c r="E49" s="1" t="n">
        <v>46317</v>
      </c>
      <c r="F49" t="inlineStr">
        <is>
          <t>SKÅNE LÄN</t>
        </is>
      </c>
      <c r="G49" t="inlineStr">
        <is>
          <t>PERSTORP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11701-2023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44992</v>
      </c>
      <c r="E50" s="1" t="n">
        <v>46317</v>
      </c>
      <c r="F50" t="inlineStr">
        <is>
          <t>SKÅNE LÄN</t>
        </is>
      </c>
      <c r="G50" t="inlineStr">
        <is>
          <t>PERSTORP</t>
        </is>
      </c>
      <c r="H50" t="inlineStr">
        <is>
          <t>Övriga Aktiebolag</t>
        </is>
      </c>
      <c r="I50" t="n">
        <v>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52740-2024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45610</v>
      </c>
      <c r="E51" s="1" t="n">
        <v>46317</v>
      </c>
      <c r="F51" t="inlineStr">
        <is>
          <t>SKÅNE LÄN</t>
        </is>
      </c>
      <c r="G51" t="inlineStr">
        <is>
          <t>PERSTORP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2950-2023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44945</v>
      </c>
      <c r="E52" s="1" t="n">
        <v>46317</v>
      </c>
      <c r="F52" t="inlineStr">
        <is>
          <t>SKÅNE LÄN</t>
        </is>
      </c>
      <c r="G52" t="inlineStr">
        <is>
          <t>PERSTORP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9368-2023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44981</v>
      </c>
      <c r="E53" s="1" t="n">
        <v>46317</v>
      </c>
      <c r="F53" t="inlineStr">
        <is>
          <t>SKÅNE LÄN</t>
        </is>
      </c>
      <c r="G53" t="inlineStr">
        <is>
          <t>PERSTORP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7508-2025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45702</v>
      </c>
      <c r="E54" s="1" t="n">
        <v>46317</v>
      </c>
      <c r="F54" t="inlineStr">
        <is>
          <t>SKÅNE LÄN</t>
        </is>
      </c>
      <c r="G54" t="inlineStr">
        <is>
          <t>PERSTORP</t>
        </is>
      </c>
      <c r="H54" t="inlineStr">
        <is>
          <t>Övriga Aktiebolag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7510-2025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45702</v>
      </c>
      <c r="E55" s="1" t="n">
        <v>46317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35194-2023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45145</v>
      </c>
      <c r="E56" s="1" t="n">
        <v>46317</v>
      </c>
      <c r="F56" t="inlineStr">
        <is>
          <t>SKÅNE LÄN</t>
        </is>
      </c>
      <c r="G56" t="inlineStr">
        <is>
          <t>PERSTORP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42435-2024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45565</v>
      </c>
      <c r="E57" s="1" t="n">
        <v>46317</v>
      </c>
      <c r="F57" t="inlineStr">
        <is>
          <t>SKÅNE LÄN</t>
        </is>
      </c>
      <c r="G57" t="inlineStr">
        <is>
          <t>PERSTORP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28097-2025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45817</v>
      </c>
      <c r="E58" s="1" t="n">
        <v>46317</v>
      </c>
      <c r="F58" t="inlineStr">
        <is>
          <t>SKÅNE LÄN</t>
        </is>
      </c>
      <c r="G58" t="inlineStr">
        <is>
          <t>PERSTORP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38328-2023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45161</v>
      </c>
      <c r="E59" s="1" t="n">
        <v>46317</v>
      </c>
      <c r="F59" t="inlineStr">
        <is>
          <t>SKÅNE LÄN</t>
        </is>
      </c>
      <c r="G59" t="inlineStr">
        <is>
          <t>PERSTORP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13267-2023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45003</v>
      </c>
      <c r="E60" s="1" t="n">
        <v>46317</v>
      </c>
      <c r="F60" t="inlineStr">
        <is>
          <t>SKÅNE LÄN</t>
        </is>
      </c>
      <c r="G60" t="inlineStr">
        <is>
          <t>PERSTORP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28751-2024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45478</v>
      </c>
      <c r="E61" s="1" t="n">
        <v>46317</v>
      </c>
      <c r="F61" t="inlineStr">
        <is>
          <t>SKÅNE LÄN</t>
        </is>
      </c>
      <c r="G61" t="inlineStr">
        <is>
          <t>PERSTORP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21733-2026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46149</v>
      </c>
      <c r="E62" s="1" t="n">
        <v>46317</v>
      </c>
      <c r="F62" t="inlineStr">
        <is>
          <t>SKÅNE LÄN</t>
        </is>
      </c>
      <c r="G62" t="inlineStr">
        <is>
          <t>PERSTORP</t>
        </is>
      </c>
      <c r="I62" t="n">
        <v>16.7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52575-2023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46317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10.2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52583-2023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46317</v>
      </c>
      <c r="F64" t="inlineStr">
        <is>
          <t>SKÅNE LÄN</t>
        </is>
      </c>
      <c r="G64" t="inlineStr">
        <is>
          <t>PERSTORP</t>
        </is>
      </c>
      <c r="H64" t="inlineStr">
        <is>
          <t>Övriga Aktiebolag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52615-2023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45219</v>
      </c>
      <c r="E65" s="1" t="n">
        <v>46317</v>
      </c>
      <c r="F65" t="inlineStr">
        <is>
          <t>SKÅNE LÄN</t>
        </is>
      </c>
      <c r="G65" t="inlineStr">
        <is>
          <t>PERSTORP</t>
        </is>
      </c>
      <c r="H65" t="inlineStr">
        <is>
          <t>Övriga Aktiebolag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29867-2023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45107</v>
      </c>
      <c r="E66" s="1" t="n">
        <v>46317</v>
      </c>
      <c r="F66" t="inlineStr">
        <is>
          <t>SKÅNE LÄN</t>
        </is>
      </c>
      <c r="G66" t="inlineStr">
        <is>
          <t>PERSTORP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23874-2026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46167</v>
      </c>
      <c r="E67" s="1" t="n">
        <v>46317</v>
      </c>
      <c r="F67" t="inlineStr">
        <is>
          <t>SKÅNE LÄN</t>
        </is>
      </c>
      <c r="G67" t="inlineStr">
        <is>
          <t>PERSTORP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14473-2024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45394</v>
      </c>
      <c r="E68" s="1" t="n">
        <v>46317</v>
      </c>
      <c r="F68" t="inlineStr">
        <is>
          <t>SKÅNE LÄN</t>
        </is>
      </c>
      <c r="G68" t="inlineStr">
        <is>
          <t>PERSTORP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25487-2026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46177</v>
      </c>
      <c r="E69" s="1" t="n">
        <v>46317</v>
      </c>
      <c r="F69" t="inlineStr">
        <is>
          <t>SKÅNE LÄN</t>
        </is>
      </c>
      <c r="G69" t="inlineStr">
        <is>
          <t>PERSTORP</t>
        </is>
      </c>
      <c r="H69" t="inlineStr">
        <is>
          <t>Övriga Aktiebolag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55410-2022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44882</v>
      </c>
      <c r="E70" s="1" t="n">
        <v>46317</v>
      </c>
      <c r="F70" t="inlineStr">
        <is>
          <t>SKÅNE LÄN</t>
        </is>
      </c>
      <c r="G70" t="inlineStr">
        <is>
          <t>PERSTORP</t>
        </is>
      </c>
      <c r="H70" t="inlineStr">
        <is>
          <t>Övriga Aktiebolag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28247-2022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44746</v>
      </c>
      <c r="E71" s="1" t="n">
        <v>46317</v>
      </c>
      <c r="F71" t="inlineStr">
        <is>
          <t>SKÅNE LÄN</t>
        </is>
      </c>
      <c r="G71" t="inlineStr">
        <is>
          <t>PERSTORP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38936-2023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45163</v>
      </c>
      <c r="E72" s="1" t="n">
        <v>46317</v>
      </c>
      <c r="F72" t="inlineStr">
        <is>
          <t>SKÅNE LÄN</t>
        </is>
      </c>
      <c r="G72" t="inlineStr">
        <is>
          <t>PERSTORP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62293-2022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44923</v>
      </c>
      <c r="E73" s="1" t="n">
        <v>46317</v>
      </c>
      <c r="F73" t="inlineStr">
        <is>
          <t>SKÅNE LÄN</t>
        </is>
      </c>
      <c r="G73" t="inlineStr">
        <is>
          <t>PERSTORP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62296-2022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44923</v>
      </c>
      <c r="E74" s="1" t="n">
        <v>46317</v>
      </c>
      <c r="F74" t="inlineStr">
        <is>
          <t>SKÅNE LÄN</t>
        </is>
      </c>
      <c r="G74" t="inlineStr">
        <is>
          <t>PERSTORP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31802-2023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45106</v>
      </c>
      <c r="E75" s="1" t="n">
        <v>46317</v>
      </c>
      <c r="F75" t="inlineStr">
        <is>
          <t>SKÅNE LÄN</t>
        </is>
      </c>
      <c r="G75" t="inlineStr">
        <is>
          <t>PERSTORP</t>
        </is>
      </c>
      <c r="H75" t="inlineStr">
        <is>
          <t>Övriga Aktiebolag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27465-2026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46189</v>
      </c>
      <c r="E76" s="1" t="n">
        <v>46317</v>
      </c>
      <c r="F76" t="inlineStr">
        <is>
          <t>SKÅNE LÄN</t>
        </is>
      </c>
      <c r="G76" t="inlineStr">
        <is>
          <t>PERSTORP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60504-2023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45259</v>
      </c>
      <c r="E77" s="1" t="n">
        <v>46317</v>
      </c>
      <c r="F77" t="inlineStr">
        <is>
          <t>SKÅNE LÄN</t>
        </is>
      </c>
      <c r="G77" t="inlineStr">
        <is>
          <t>PERSTORP</t>
        </is>
      </c>
      <c r="H77" t="inlineStr">
        <is>
          <t>Övriga Aktiebolag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10941-2024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45370</v>
      </c>
      <c r="E78" s="1" t="n">
        <v>46317</v>
      </c>
      <c r="F78" t="inlineStr">
        <is>
          <t>SKÅNE LÄN</t>
        </is>
      </c>
      <c r="G78" t="inlineStr">
        <is>
          <t>PERSTORP</t>
        </is>
      </c>
      <c r="H78" t="inlineStr">
        <is>
          <t>Övriga Aktiebolag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42454-2024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45565</v>
      </c>
      <c r="E79" s="1" t="n">
        <v>46317</v>
      </c>
      <c r="F79" t="inlineStr">
        <is>
          <t>SKÅNE LÄN</t>
        </is>
      </c>
      <c r="G79" t="inlineStr">
        <is>
          <t>PERSTORP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4688-2022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44592</v>
      </c>
      <c r="E80" s="1" t="n">
        <v>46317</v>
      </c>
      <c r="F80" t="inlineStr">
        <is>
          <t>SKÅNE LÄN</t>
        </is>
      </c>
      <c r="G80" t="inlineStr">
        <is>
          <t>PERSTORP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1164-2024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45302</v>
      </c>
      <c r="E81" s="1" t="n">
        <v>46317</v>
      </c>
      <c r="F81" t="inlineStr">
        <is>
          <t>SKÅNE LÄN</t>
        </is>
      </c>
      <c r="G81" t="inlineStr">
        <is>
          <t>PERSTORP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11669-2023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44992</v>
      </c>
      <c r="E82" s="1" t="n">
        <v>46317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60506-2023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45259</v>
      </c>
      <c r="E83" s="1" t="n">
        <v>46317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14632-2024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45397</v>
      </c>
      <c r="E84" s="1" t="n">
        <v>46317</v>
      </c>
      <c r="F84" t="inlineStr">
        <is>
          <t>SKÅNE LÄN</t>
        </is>
      </c>
      <c r="G84" t="inlineStr">
        <is>
          <t>PERSTORP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7492-2025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45702</v>
      </c>
      <c r="E85" s="1" t="n">
        <v>46317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67669-2021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44524</v>
      </c>
      <c r="E86" s="1" t="n">
        <v>46317</v>
      </c>
      <c r="F86" t="inlineStr">
        <is>
          <t>SKÅNE LÄN</t>
        </is>
      </c>
      <c r="G86" t="inlineStr">
        <is>
          <t>PERSTORP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53875-2023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45231</v>
      </c>
      <c r="E87" s="1" t="n">
        <v>46317</v>
      </c>
      <c r="F87" t="inlineStr">
        <is>
          <t>SKÅNE LÄN</t>
        </is>
      </c>
      <c r="G87" t="inlineStr">
        <is>
          <t>PERSTORP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23786-2023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45078</v>
      </c>
      <c r="E88" s="1" t="n">
        <v>46317</v>
      </c>
      <c r="F88" t="inlineStr">
        <is>
          <t>SKÅNE LÄN</t>
        </is>
      </c>
      <c r="G88" t="inlineStr">
        <is>
          <t>PERSTORP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8741-2024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45356</v>
      </c>
      <c r="E89" s="1" t="n">
        <v>46317</v>
      </c>
      <c r="F89" t="inlineStr">
        <is>
          <t>SKÅNE LÄN</t>
        </is>
      </c>
      <c r="G89" t="inlineStr">
        <is>
          <t>PERSTORP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10742-2024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45369</v>
      </c>
      <c r="E90" s="1" t="n">
        <v>46317</v>
      </c>
      <c r="F90" t="inlineStr">
        <is>
          <t>SKÅNE LÄN</t>
        </is>
      </c>
      <c r="G90" t="inlineStr">
        <is>
          <t>PERSTORP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29874-2023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45107</v>
      </c>
      <c r="E91" s="1" t="n">
        <v>46317</v>
      </c>
      <c r="F91" t="inlineStr">
        <is>
          <t>SKÅNE LÄN</t>
        </is>
      </c>
      <c r="G91" t="inlineStr">
        <is>
          <t>PERSTORP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33406-2026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46247</v>
      </c>
      <c r="E92" s="1" t="n">
        <v>46317</v>
      </c>
      <c r="F92" t="inlineStr">
        <is>
          <t>SKÅNE LÄN</t>
        </is>
      </c>
      <c r="G92" t="inlineStr">
        <is>
          <t>PERSTORP</t>
        </is>
      </c>
      <c r="I92" t="n">
        <v>9.300000000000001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11720-2024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45373</v>
      </c>
      <c r="E93" s="1" t="n">
        <v>46317</v>
      </c>
      <c r="F93" t="inlineStr">
        <is>
          <t>SKÅNE LÄN</t>
        </is>
      </c>
      <c r="G93" t="inlineStr">
        <is>
          <t>PERSTORP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7509-2025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45702</v>
      </c>
      <c r="E94" s="1" t="n">
        <v>46317</v>
      </c>
      <c r="F94" t="inlineStr">
        <is>
          <t>SKÅNE LÄN</t>
        </is>
      </c>
      <c r="G94" t="inlineStr">
        <is>
          <t>PERSTORP</t>
        </is>
      </c>
      <c r="H94" t="inlineStr">
        <is>
          <t>Övriga Aktiebolag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8565-2023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44977</v>
      </c>
      <c r="E95" s="1" t="n">
        <v>46317</v>
      </c>
      <c r="F95" t="inlineStr">
        <is>
          <t>SKÅNE LÄN</t>
        </is>
      </c>
      <c r="G95" t="inlineStr">
        <is>
          <t>PERSTORP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37890-2024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45544</v>
      </c>
      <c r="E96" s="1" t="n">
        <v>46317</v>
      </c>
      <c r="F96" t="inlineStr">
        <is>
          <t>SKÅNE LÄN</t>
        </is>
      </c>
      <c r="G96" t="inlineStr">
        <is>
          <t>PERSTORP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16395-2023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45029</v>
      </c>
      <c r="E97" s="1" t="n">
        <v>46317</v>
      </c>
      <c r="F97" t="inlineStr">
        <is>
          <t>SKÅNE LÄN</t>
        </is>
      </c>
      <c r="G97" t="inlineStr">
        <is>
          <t>PERSTORP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6948-2025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45701</v>
      </c>
      <c r="E98" s="1" t="n">
        <v>46317</v>
      </c>
      <c r="F98" t="inlineStr">
        <is>
          <t>SKÅNE LÄN</t>
        </is>
      </c>
      <c r="G98" t="inlineStr">
        <is>
          <t>PERSTORP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37598-2026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46276</v>
      </c>
      <c r="E99" s="1" t="n">
        <v>46317</v>
      </c>
      <c r="F99" t="inlineStr">
        <is>
          <t>SKÅNE LÄN</t>
        </is>
      </c>
      <c r="G99" t="inlineStr">
        <is>
          <t>PERSTORP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61859-2023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45265</v>
      </c>
      <c r="E100" s="1" t="n">
        <v>46317</v>
      </c>
      <c r="F100" t="inlineStr">
        <is>
          <t>SKÅNE LÄN</t>
        </is>
      </c>
      <c r="G100" t="inlineStr">
        <is>
          <t>PERSTORP</t>
        </is>
      </c>
      <c r="H100" t="inlineStr">
        <is>
          <t>Övriga Aktiebolag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32201-2024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45511</v>
      </c>
      <c r="E101" s="1" t="n">
        <v>46317</v>
      </c>
      <c r="F101" t="inlineStr">
        <is>
          <t>SKÅNE LÄN</t>
        </is>
      </c>
      <c r="G101" t="inlineStr">
        <is>
          <t>PERSTORP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54095-2022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44879</v>
      </c>
      <c r="E102" s="1" t="n">
        <v>46317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25867-2026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46178</v>
      </c>
      <c r="E103" s="1" t="n">
        <v>46317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35193-2026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46260</v>
      </c>
      <c r="E104" s="1" t="n">
        <v>46317</v>
      </c>
      <c r="F104" t="inlineStr">
        <is>
          <t>SKÅNE LÄN</t>
        </is>
      </c>
      <c r="G104" t="inlineStr">
        <is>
          <t>PERSTORP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42534-2026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46308</v>
      </c>
      <c r="E105" s="1" t="n">
        <v>46317</v>
      </c>
      <c r="F105" t="inlineStr">
        <is>
          <t>SKÅNE LÄN</t>
        </is>
      </c>
      <c r="G105" t="inlineStr">
        <is>
          <t>PERSTORP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36225-2026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46268</v>
      </c>
      <c r="E106" s="1" t="n">
        <v>46317</v>
      </c>
      <c r="F106" t="inlineStr">
        <is>
          <t>SKÅNE LÄN</t>
        </is>
      </c>
      <c r="G106" t="inlineStr">
        <is>
          <t>PERSTORP</t>
        </is>
      </c>
      <c r="H106" t="inlineStr">
        <is>
          <t>Övriga Aktiebolag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1482-2022</t>
        </is>
      </c>
      <c r="B107" t="inlineStr">
        <is>
          <t>samrådsanmälan</t>
        </is>
      </c>
      <c r="C107" t="inlineStr">
        <is>
          <t>Skogsbilväg</t>
        </is>
      </c>
      <c r="D107" s="1" t="n">
        <v>44637</v>
      </c>
      <c r="E107" s="1" t="n">
        <v>46317</v>
      </c>
      <c r="F107" t="inlineStr">
        <is>
          <t>SKÅNE LÄN</t>
        </is>
      </c>
      <c r="G107" t="inlineStr">
        <is>
          <t>PERSTORP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1708-2024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45434</v>
      </c>
      <c r="E108" s="1" t="n">
        <v>46317</v>
      </c>
      <c r="F108" t="inlineStr">
        <is>
          <t>SKÅNE LÄN</t>
        </is>
      </c>
      <c r="G108" t="inlineStr">
        <is>
          <t>PERSTORP</t>
        </is>
      </c>
      <c r="H108" t="inlineStr">
        <is>
          <t>Övriga Aktiebolag</t>
        </is>
      </c>
      <c r="I108" t="n">
        <v>9.4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7204-2022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44918</v>
      </c>
      <c r="E109" s="1" t="n">
        <v>46317</v>
      </c>
      <c r="F109" t="inlineStr">
        <is>
          <t>SKÅNE LÄN</t>
        </is>
      </c>
      <c r="G109" t="inlineStr">
        <is>
          <t>PERSTORP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5383-2022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44830</v>
      </c>
      <c r="E110" s="1" t="n">
        <v>46317</v>
      </c>
      <c r="F110" t="inlineStr">
        <is>
          <t>SKÅNE LÄN</t>
        </is>
      </c>
      <c r="G110" t="inlineStr">
        <is>
          <t>PERSTORP</t>
        </is>
      </c>
      <c r="I110" t="n">
        <v>44.5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10184-2021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44543</v>
      </c>
      <c r="E111" s="1" t="n">
        <v>46317</v>
      </c>
      <c r="F111" t="inlineStr">
        <is>
          <t>SKÅNE LÄN</t>
        </is>
      </c>
      <c r="G111" t="inlineStr">
        <is>
          <t>PERSTORP</t>
        </is>
      </c>
      <c r="I111" t="n">
        <v>17.5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824-2023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44988</v>
      </c>
      <c r="E112" s="1" t="n">
        <v>46317</v>
      </c>
      <c r="F112" t="inlineStr">
        <is>
          <t>SKÅNE LÄN</t>
        </is>
      </c>
      <c r="G112" t="inlineStr">
        <is>
          <t>PERSTORP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3915-2024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45565</v>
      </c>
      <c r="E113" s="1" t="n">
        <v>46317</v>
      </c>
      <c r="F113" t="inlineStr">
        <is>
          <t>SKÅNE LÄN</t>
        </is>
      </c>
      <c r="G113" t="inlineStr">
        <is>
          <t>PERSTORP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524-2024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45348</v>
      </c>
      <c r="E114" s="1" t="n">
        <v>46317</v>
      </c>
      <c r="F114" t="inlineStr">
        <is>
          <t>SKÅNE LÄN</t>
        </is>
      </c>
      <c r="G114" t="inlineStr">
        <is>
          <t>PERSTORP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5974-2022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44858</v>
      </c>
      <c r="E115" s="1" t="n">
        <v>46317</v>
      </c>
      <c r="F115" t="inlineStr">
        <is>
          <t>SKÅNE LÄN</t>
        </is>
      </c>
      <c r="G115" t="inlineStr">
        <is>
          <t>PERSTORP</t>
        </is>
      </c>
      <c r="I115" t="n">
        <v>15.8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4732-2024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45608</v>
      </c>
      <c r="E116" s="1" t="n">
        <v>46317</v>
      </c>
      <c r="F116" t="inlineStr">
        <is>
          <t>SKÅNE LÄN</t>
        </is>
      </c>
      <c r="G116" t="inlineStr">
        <is>
          <t>PERSTORP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1704-2024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45434</v>
      </c>
      <c r="E117" s="1" t="n">
        <v>46317</v>
      </c>
      <c r="F117" t="inlineStr">
        <is>
          <t>SKÅNE LÄN</t>
        </is>
      </c>
      <c r="G117" t="inlineStr">
        <is>
          <t>PERSTORP</t>
        </is>
      </c>
      <c r="H117" t="inlineStr">
        <is>
          <t>Övriga Aktiebolag</t>
        </is>
      </c>
      <c r="I117" t="n">
        <v>9.800000000000001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823-2023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44988</v>
      </c>
      <c r="E118" s="1" t="n">
        <v>46317</v>
      </c>
      <c r="F118" t="inlineStr">
        <is>
          <t>SKÅNE LÄN</t>
        </is>
      </c>
      <c r="G118" t="inlineStr">
        <is>
          <t>PERSTORP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4252-2024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45582</v>
      </c>
      <c r="E119" s="1" t="n">
        <v>46317</v>
      </c>
      <c r="F119" t="inlineStr">
        <is>
          <t>SKÅNE LÄN</t>
        </is>
      </c>
      <c r="G119" t="inlineStr">
        <is>
          <t>PERSTORP</t>
        </is>
      </c>
      <c r="I119" t="n">
        <v>13.8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111-2023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44936</v>
      </c>
      <c r="E120" s="1" t="n">
        <v>46317</v>
      </c>
      <c r="F120" t="inlineStr">
        <is>
          <t>SKÅNE LÄN</t>
        </is>
      </c>
      <c r="G120" t="inlineStr">
        <is>
          <t>PERSTORP</t>
        </is>
      </c>
      <c r="I120" t="n">
        <v>40.1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4721-2024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45607</v>
      </c>
      <c r="E121" s="1" t="n">
        <v>46317</v>
      </c>
      <c r="F121" t="inlineStr">
        <is>
          <t>SKÅNE LÄN</t>
        </is>
      </c>
      <c r="G121" t="inlineStr">
        <is>
          <t>PERSTORP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109-2023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44936</v>
      </c>
      <c r="E122" s="1" t="n">
        <v>46317</v>
      </c>
      <c r="F122" t="inlineStr">
        <is>
          <t>SKÅNE LÄN</t>
        </is>
      </c>
      <c r="G122" t="inlineStr">
        <is>
          <t>PERSTORP</t>
        </is>
      </c>
      <c r="I122" t="n">
        <v>55.2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1123-2024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45393</v>
      </c>
      <c r="E123" s="1" t="n">
        <v>46317</v>
      </c>
      <c r="F123" t="inlineStr">
        <is>
          <t>SKÅNE LÄN</t>
        </is>
      </c>
      <c r="G123" t="inlineStr">
        <is>
          <t>PERSTORP</t>
        </is>
      </c>
      <c r="I123" t="n">
        <v>13.1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938-2023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45002</v>
      </c>
      <c r="E124" s="1" t="n">
        <v>46317</v>
      </c>
      <c r="F124" t="inlineStr">
        <is>
          <t>SKÅNE LÄN</t>
        </is>
      </c>
      <c r="G124" t="inlineStr">
        <is>
          <t>PERSTORP</t>
        </is>
      </c>
      <c r="I124" t="n">
        <v>12.7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4731-2024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45608</v>
      </c>
      <c r="E125" s="1" t="n">
        <v>46317</v>
      </c>
      <c r="F125" t="inlineStr">
        <is>
          <t>SKÅNE LÄN</t>
        </is>
      </c>
      <c r="G125" t="inlineStr">
        <is>
          <t>PERSTORP</t>
        </is>
      </c>
      <c r="I125" t="n">
        <v>11.6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557-2025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45709</v>
      </c>
      <c r="E126" s="1" t="n">
        <v>46317</v>
      </c>
      <c r="F126" t="inlineStr">
        <is>
          <t>SKÅNE LÄN</t>
        </is>
      </c>
      <c r="G126" t="inlineStr">
        <is>
          <t>PERSTORP</t>
        </is>
      </c>
      <c r="I126" t="n">
        <v>31.1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2486-2025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45901</v>
      </c>
      <c r="E127" s="1" t="n">
        <v>46317</v>
      </c>
      <c r="F127" t="inlineStr">
        <is>
          <t>SKÅNE LÄN</t>
        </is>
      </c>
      <c r="G127" t="inlineStr">
        <is>
          <t>PERSTORP</t>
        </is>
      </c>
      <c r="I127" t="n">
        <v>15.1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46-2026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46030</v>
      </c>
      <c r="E128" s="1" t="n">
        <v>46317</v>
      </c>
      <c r="F128" t="inlineStr">
        <is>
          <t>SKÅNE LÄN</t>
        </is>
      </c>
      <c r="G128" t="inlineStr">
        <is>
          <t>PERSTORP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155-2026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46043</v>
      </c>
      <c r="E129" s="1" t="n">
        <v>46317</v>
      </c>
      <c r="F129" t="inlineStr">
        <is>
          <t>SKÅNE LÄN</t>
        </is>
      </c>
      <c r="G129" t="inlineStr">
        <is>
          <t>PERSTORP</t>
        </is>
      </c>
      <c r="H129" t="inlineStr">
        <is>
          <t>Övriga Aktiebolag</t>
        </is>
      </c>
      <c r="I129" t="n">
        <v>20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172-2026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46044</v>
      </c>
      <c r="E130" s="1" t="n">
        <v>46317</v>
      </c>
      <c r="F130" t="inlineStr">
        <is>
          <t>SKÅNE LÄN</t>
        </is>
      </c>
      <c r="G130" t="inlineStr">
        <is>
          <t>PERSTORP</t>
        </is>
      </c>
      <c r="H130" t="inlineStr">
        <is>
          <t>Övriga Aktiebolag</t>
        </is>
      </c>
      <c r="I130" t="n">
        <v>21.6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164-2026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46044</v>
      </c>
      <c r="E131" s="1" t="n">
        <v>46317</v>
      </c>
      <c r="F131" t="inlineStr">
        <is>
          <t>SKÅNE LÄN</t>
        </is>
      </c>
      <c r="G131" t="inlineStr">
        <is>
          <t>PERSTORP</t>
        </is>
      </c>
      <c r="H131" t="inlineStr">
        <is>
          <t>Övriga Aktiebolag</t>
        </is>
      </c>
      <c r="I131" t="n">
        <v>19.8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168-2026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46044</v>
      </c>
      <c r="E132" s="1" t="n">
        <v>46317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169-2026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46317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306-2026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46058</v>
      </c>
      <c r="E134" s="1" t="n">
        <v>46317</v>
      </c>
      <c r="F134" t="inlineStr">
        <is>
          <t>SKÅNE LÄN</t>
        </is>
      </c>
      <c r="G134" t="inlineStr">
        <is>
          <t>PERSTORP</t>
        </is>
      </c>
      <c r="I134" t="n">
        <v>27.6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1178-2026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46136</v>
      </c>
      <c r="E135" s="1" t="n">
        <v>46317</v>
      </c>
      <c r="F135" t="inlineStr">
        <is>
          <t>SKÅNE LÄN</t>
        </is>
      </c>
      <c r="G135" t="inlineStr">
        <is>
          <t>PERSTORP</t>
        </is>
      </c>
      <c r="I135" t="n">
        <v>8.1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2012-2026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46210</v>
      </c>
      <c r="E136" s="1" t="n">
        <v>46317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2013-2026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46317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17.7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2011-2026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46317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28.1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46317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15.2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2017-2026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46317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9.199999999999999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>
      <c r="A141" t="inlineStr">
        <is>
          <t>S 2047-2026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46213</v>
      </c>
      <c r="E141" s="1" t="n">
        <v>46317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2026-10-22T01:55:34Z</dcterms:created>
  <dcterms:modified xmlns:dcterms="http://purl.org/dc/terms/" xmlns:xsi="http://www.w3.org/2001/XMLSchema-instance" xsi:type="dcterms:W3CDTF">2026-10-22T01:55:34Z</dcterms:modified>
</cp:coreProperties>
</file>