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46195-2022</t>
        </is>
      </c>
      <c r="B2" s="1" t="n">
        <v>44845</v>
      </c>
      <c r="C2" s="1" t="n">
        <v>45641</v>
      </c>
      <c r="D2" t="inlineStr">
        <is>
          <t>SKÅNE LÄN</t>
        </is>
      </c>
      <c r="E2" t="inlineStr">
        <is>
          <t>PERSTORP</t>
        </is>
      </c>
      <c r="G2" t="n">
        <v>0.7</v>
      </c>
      <c r="H2" t="n">
        <v>0</v>
      </c>
      <c r="I2" t="n">
        <v>1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Brandticka</t>
        </is>
      </c>
      <c r="S2">
        <f>HYPERLINK("https://klasma.github.io/Logging_1275/artfynd/A 46195-2022 artfynd.xlsx", "A 46195-2022")</f>
        <v/>
      </c>
      <c r="T2">
        <f>HYPERLINK("https://klasma.github.io/Logging_1275/kartor/A 46195-2022 karta.png", "A 46195-2022")</f>
        <v/>
      </c>
      <c r="V2">
        <f>HYPERLINK("https://klasma.github.io/Logging_1275/klagomål/A 46195-2022 FSC-klagomål.docx", "A 46195-2022")</f>
        <v/>
      </c>
      <c r="W2">
        <f>HYPERLINK("https://klasma.github.io/Logging_1275/klagomålsmail/A 46195-2022 FSC-klagomål mail.docx", "A 46195-2022")</f>
        <v/>
      </c>
      <c r="X2">
        <f>HYPERLINK("https://klasma.github.io/Logging_1275/tillsyn/A 46195-2022 tillsynsbegäran.docx", "A 46195-2022")</f>
        <v/>
      </c>
      <c r="Y2">
        <f>HYPERLINK("https://klasma.github.io/Logging_1275/tillsynsmail/A 46195-2022 tillsynsbegäran mail.docx", "A 46195-2022")</f>
        <v/>
      </c>
    </row>
    <row r="3" ht="15" customHeight="1">
      <c r="A3" t="inlineStr">
        <is>
          <t>A 30000-2024</t>
        </is>
      </c>
      <c r="B3" s="1" t="n">
        <v>45488</v>
      </c>
      <c r="C3" s="1" t="n">
        <v>45641</v>
      </c>
      <c r="D3" t="inlineStr">
        <is>
          <t>SKÅNE LÄN</t>
        </is>
      </c>
      <c r="E3" t="inlineStr">
        <is>
          <t>PERSTORP</t>
        </is>
      </c>
      <c r="G3" t="n">
        <v>10.8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HYPERLINK("https://klasma.github.io/Logging_1275/artfynd/A 30000-2024 artfynd.xlsx", "A 30000-2024")</f>
        <v/>
      </c>
      <c r="T3">
        <f>HYPERLINK("https://klasma.github.io/Logging_1275/kartor/A 30000-2024 karta.png", "A 30000-2024")</f>
        <v/>
      </c>
      <c r="V3">
        <f>HYPERLINK("https://klasma.github.io/Logging_1275/klagomål/A 30000-2024 FSC-klagomål.docx", "A 30000-2024")</f>
        <v/>
      </c>
      <c r="W3">
        <f>HYPERLINK("https://klasma.github.io/Logging_1275/klagomålsmail/A 30000-2024 FSC-klagomål mail.docx", "A 30000-2024")</f>
        <v/>
      </c>
      <c r="X3">
        <f>HYPERLINK("https://klasma.github.io/Logging_1275/tillsyn/A 30000-2024 tillsynsbegäran.docx", "A 30000-2024")</f>
        <v/>
      </c>
      <c r="Y3">
        <f>HYPERLINK("https://klasma.github.io/Logging_1275/tillsynsmail/A 30000-2024 tillsynsbegäran mail.docx", "A 30000-2024")</f>
        <v/>
      </c>
    </row>
    <row r="4" ht="15" customHeight="1">
      <c r="A4" t="inlineStr">
        <is>
          <t>A 32842-2024</t>
        </is>
      </c>
      <c r="B4" s="1" t="n">
        <v>45516</v>
      </c>
      <c r="C4" s="1" t="n">
        <v>45641</v>
      </c>
      <c r="D4" t="inlineStr">
        <is>
          <t>SKÅNE LÄN</t>
        </is>
      </c>
      <c r="E4" t="inlineStr">
        <is>
          <t>PERSTORP</t>
        </is>
      </c>
      <c r="G4" t="n">
        <v>2.5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Blåmossa</t>
        </is>
      </c>
      <c r="S4">
        <f>HYPERLINK("https://klasma.github.io/Logging_1275/artfynd/A 32842-2024 artfynd.xlsx", "A 32842-2024")</f>
        <v/>
      </c>
      <c r="T4">
        <f>HYPERLINK("https://klasma.github.io/Logging_1275/kartor/A 32842-2024 karta.png", "A 32842-2024")</f>
        <v/>
      </c>
      <c r="V4">
        <f>HYPERLINK("https://klasma.github.io/Logging_1275/klagomål/A 32842-2024 FSC-klagomål.docx", "A 32842-2024")</f>
        <v/>
      </c>
      <c r="W4">
        <f>HYPERLINK("https://klasma.github.io/Logging_1275/klagomålsmail/A 32842-2024 FSC-klagomål mail.docx", "A 32842-2024")</f>
        <v/>
      </c>
      <c r="X4">
        <f>HYPERLINK("https://klasma.github.io/Logging_1275/tillsyn/A 32842-2024 tillsynsbegäran.docx", "A 32842-2024")</f>
        <v/>
      </c>
      <c r="Y4">
        <f>HYPERLINK("https://klasma.github.io/Logging_1275/tillsynsmail/A 32842-2024 tillsynsbegäran mail.docx", "A 32842-2024")</f>
        <v/>
      </c>
    </row>
    <row r="5" ht="15" customHeight="1">
      <c r="A5" t="inlineStr">
        <is>
          <t>A 19988-2019</t>
        </is>
      </c>
      <c r="B5" s="1" t="n">
        <v>43567</v>
      </c>
      <c r="C5" s="1" t="n">
        <v>45641</v>
      </c>
      <c r="D5" t="inlineStr">
        <is>
          <t>SKÅNE LÄN</t>
        </is>
      </c>
      <c r="E5" t="inlineStr">
        <is>
          <t>PERSTORP</t>
        </is>
      </c>
      <c r="F5" t="inlineStr">
        <is>
          <t>Övriga Aktiebolag</t>
        </is>
      </c>
      <c r="G5" t="n">
        <v>2.6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19973-2019</t>
        </is>
      </c>
      <c r="B6" s="1" t="n">
        <v>43567</v>
      </c>
      <c r="C6" s="1" t="n">
        <v>45641</v>
      </c>
      <c r="D6" t="inlineStr">
        <is>
          <t>SKÅNE LÄN</t>
        </is>
      </c>
      <c r="E6" t="inlineStr">
        <is>
          <t>PERSTORP</t>
        </is>
      </c>
      <c r="F6" t="inlineStr">
        <is>
          <t>Övriga Aktiebolag</t>
        </is>
      </c>
      <c r="G6" t="n">
        <v>2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21422-2019</t>
        </is>
      </c>
      <c r="B7" s="1" t="n">
        <v>43580</v>
      </c>
      <c r="C7" s="1" t="n">
        <v>45641</v>
      </c>
      <c r="D7" t="inlineStr">
        <is>
          <t>SKÅNE LÄN</t>
        </is>
      </c>
      <c r="E7" t="inlineStr">
        <is>
          <t>PERSTORP</t>
        </is>
      </c>
      <c r="G7" t="n">
        <v>7.5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21901-2019</t>
        </is>
      </c>
      <c r="B8" s="1" t="n">
        <v>43584</v>
      </c>
      <c r="C8" s="1" t="n">
        <v>45641</v>
      </c>
      <c r="D8" t="inlineStr">
        <is>
          <t>SKÅNE LÄN</t>
        </is>
      </c>
      <c r="E8" t="inlineStr">
        <is>
          <t>PERSTORP</t>
        </is>
      </c>
      <c r="F8" t="inlineStr">
        <is>
          <t>Övriga Aktiebolag</t>
        </is>
      </c>
      <c r="G8" t="n">
        <v>2.9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24200-2019</t>
        </is>
      </c>
      <c r="B9" s="1" t="n">
        <v>43595</v>
      </c>
      <c r="C9" s="1" t="n">
        <v>45641</v>
      </c>
      <c r="D9" t="inlineStr">
        <is>
          <t>SKÅNE LÄN</t>
        </is>
      </c>
      <c r="E9" t="inlineStr">
        <is>
          <t>PERSTORP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24291-2019</t>
        </is>
      </c>
      <c r="B10" s="1" t="n">
        <v>43598</v>
      </c>
      <c r="C10" s="1" t="n">
        <v>45641</v>
      </c>
      <c r="D10" t="inlineStr">
        <is>
          <t>SKÅNE LÄN</t>
        </is>
      </c>
      <c r="E10" t="inlineStr">
        <is>
          <t>PERSTORP</t>
        </is>
      </c>
      <c r="G10" t="n">
        <v>3.5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25627-2019</t>
        </is>
      </c>
      <c r="B11" s="1" t="n">
        <v>43607</v>
      </c>
      <c r="C11" s="1" t="n">
        <v>45641</v>
      </c>
      <c r="D11" t="inlineStr">
        <is>
          <t>SKÅNE LÄN</t>
        </is>
      </c>
      <c r="E11" t="inlineStr">
        <is>
          <t>PERSTORP</t>
        </is>
      </c>
      <c r="G11" t="n">
        <v>2.7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33290-2019</t>
        </is>
      </c>
      <c r="B12" s="1" t="n">
        <v>43644</v>
      </c>
      <c r="C12" s="1" t="n">
        <v>45641</v>
      </c>
      <c r="D12" t="inlineStr">
        <is>
          <t>SKÅNE LÄN</t>
        </is>
      </c>
      <c r="E12" t="inlineStr">
        <is>
          <t>PERSTORP</t>
        </is>
      </c>
      <c r="F12" t="inlineStr">
        <is>
          <t>Övriga Aktiebolag</t>
        </is>
      </c>
      <c r="G12" t="n">
        <v>1.9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33252-2019</t>
        </is>
      </c>
      <c r="B13" s="1" t="n">
        <v>43644</v>
      </c>
      <c r="C13" s="1" t="n">
        <v>45641</v>
      </c>
      <c r="D13" t="inlineStr">
        <is>
          <t>SKÅNE LÄN</t>
        </is>
      </c>
      <c r="E13" t="inlineStr">
        <is>
          <t>PERSTORP</t>
        </is>
      </c>
      <c r="F13" t="inlineStr">
        <is>
          <t>Övriga Aktiebolag</t>
        </is>
      </c>
      <c r="G13" t="n">
        <v>0.6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34452-2019</t>
        </is>
      </c>
      <c r="B14" s="1" t="n">
        <v>43656</v>
      </c>
      <c r="C14" s="1" t="n">
        <v>45641</v>
      </c>
      <c r="D14" t="inlineStr">
        <is>
          <t>SKÅNE LÄN</t>
        </is>
      </c>
      <c r="E14" t="inlineStr">
        <is>
          <t>PERSTORP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34450-2019</t>
        </is>
      </c>
      <c r="B15" s="1" t="n">
        <v>43656</v>
      </c>
      <c r="C15" s="1" t="n">
        <v>45641</v>
      </c>
      <c r="D15" t="inlineStr">
        <is>
          <t>SKÅNE LÄN</t>
        </is>
      </c>
      <c r="E15" t="inlineStr">
        <is>
          <t>PERSTORP</t>
        </is>
      </c>
      <c r="G15" t="n">
        <v>0.9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46236-2019</t>
        </is>
      </c>
      <c r="B16" s="1" t="n">
        <v>43718</v>
      </c>
      <c r="C16" s="1" t="n">
        <v>45641</v>
      </c>
      <c r="D16" t="inlineStr">
        <is>
          <t>SKÅNE LÄN</t>
        </is>
      </c>
      <c r="E16" t="inlineStr">
        <is>
          <t>PERSTORP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47130-2019</t>
        </is>
      </c>
      <c r="B17" s="1" t="n">
        <v>43720</v>
      </c>
      <c r="C17" s="1" t="n">
        <v>45641</v>
      </c>
      <c r="D17" t="inlineStr">
        <is>
          <t>SKÅNE LÄN</t>
        </is>
      </c>
      <c r="E17" t="inlineStr">
        <is>
          <t>PERSTORP</t>
        </is>
      </c>
      <c r="F17" t="inlineStr">
        <is>
          <t>Övriga Aktiebolag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53310-2019</t>
        </is>
      </c>
      <c r="B18" s="1" t="n">
        <v>43748</v>
      </c>
      <c r="C18" s="1" t="n">
        <v>45641</v>
      </c>
      <c r="D18" t="inlineStr">
        <is>
          <t>SKÅNE LÄN</t>
        </is>
      </c>
      <c r="E18" t="inlineStr">
        <is>
          <t>PERSTORP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54092-2019</t>
        </is>
      </c>
      <c r="B19" s="1" t="n">
        <v>43752</v>
      </c>
      <c r="C19" s="1" t="n">
        <v>45641</v>
      </c>
      <c r="D19" t="inlineStr">
        <is>
          <t>SKÅNE LÄN</t>
        </is>
      </c>
      <c r="E19" t="inlineStr">
        <is>
          <t>PERSTORP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55669-2019</t>
        </is>
      </c>
      <c r="B20" s="1" t="n">
        <v>43760</v>
      </c>
      <c r="C20" s="1" t="n">
        <v>45641</v>
      </c>
      <c r="D20" t="inlineStr">
        <is>
          <t>SKÅNE LÄN</t>
        </is>
      </c>
      <c r="E20" t="inlineStr">
        <is>
          <t>PERSTORP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59351-2019</t>
        </is>
      </c>
      <c r="B21" s="1" t="n">
        <v>43770</v>
      </c>
      <c r="C21" s="1" t="n">
        <v>45641</v>
      </c>
      <c r="D21" t="inlineStr">
        <is>
          <t>SKÅNE LÄN</t>
        </is>
      </c>
      <c r="E21" t="inlineStr">
        <is>
          <t>PERSTORP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59877-2019</t>
        </is>
      </c>
      <c r="B22" s="1" t="n">
        <v>43775</v>
      </c>
      <c r="C22" s="1" t="n">
        <v>45641</v>
      </c>
      <c r="D22" t="inlineStr">
        <is>
          <t>SKÅNE LÄN</t>
        </is>
      </c>
      <c r="E22" t="inlineStr">
        <is>
          <t>PERSTORP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60102-2019</t>
        </is>
      </c>
      <c r="B23" s="1" t="n">
        <v>43777</v>
      </c>
      <c r="C23" s="1" t="n">
        <v>45641</v>
      </c>
      <c r="D23" t="inlineStr">
        <is>
          <t>SKÅNE LÄN</t>
        </is>
      </c>
      <c r="E23" t="inlineStr">
        <is>
          <t>PERSTORP</t>
        </is>
      </c>
      <c r="G23" t="n">
        <v>3.9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65086-2019</t>
        </is>
      </c>
      <c r="B24" s="1" t="n">
        <v>43802</v>
      </c>
      <c r="C24" s="1" t="n">
        <v>45641</v>
      </c>
      <c r="D24" t="inlineStr">
        <is>
          <t>SKÅNE LÄN</t>
        </is>
      </c>
      <c r="E24" t="inlineStr">
        <is>
          <t>PERSTORP</t>
        </is>
      </c>
      <c r="G24" t="n">
        <v>2.5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65777-2019</t>
        </is>
      </c>
      <c r="B25" s="1" t="n">
        <v>43804</v>
      </c>
      <c r="C25" s="1" t="n">
        <v>45641</v>
      </c>
      <c r="D25" t="inlineStr">
        <is>
          <t>SKÅNE LÄN</t>
        </is>
      </c>
      <c r="E25" t="inlineStr">
        <is>
          <t>PERSTORP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65778-2019</t>
        </is>
      </c>
      <c r="B26" s="1" t="n">
        <v>43804</v>
      </c>
      <c r="C26" s="1" t="n">
        <v>45641</v>
      </c>
      <c r="D26" t="inlineStr">
        <is>
          <t>SKÅNE LÄN</t>
        </is>
      </c>
      <c r="E26" t="inlineStr">
        <is>
          <t>PERSTORP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67241-2019</t>
        </is>
      </c>
      <c r="B27" s="1" t="n">
        <v>43808</v>
      </c>
      <c r="C27" s="1" t="n">
        <v>45641</v>
      </c>
      <c r="D27" t="inlineStr">
        <is>
          <t>SKÅNE LÄN</t>
        </is>
      </c>
      <c r="E27" t="inlineStr">
        <is>
          <t>PERSTORP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67240-2019</t>
        </is>
      </c>
      <c r="B28" s="1" t="n">
        <v>43808</v>
      </c>
      <c r="C28" s="1" t="n">
        <v>45641</v>
      </c>
      <c r="D28" t="inlineStr">
        <is>
          <t>SKÅNE LÄN</t>
        </is>
      </c>
      <c r="E28" t="inlineStr">
        <is>
          <t>PERSTORP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68676-2019</t>
        </is>
      </c>
      <c r="B29" s="1" t="n">
        <v>43815</v>
      </c>
      <c r="C29" s="1" t="n">
        <v>45641</v>
      </c>
      <c r="D29" t="inlineStr">
        <is>
          <t>SKÅNE LÄN</t>
        </is>
      </c>
      <c r="E29" t="inlineStr">
        <is>
          <t>PERSTORP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68781-2019</t>
        </is>
      </c>
      <c r="B30" s="1" t="n">
        <v>43819</v>
      </c>
      <c r="C30" s="1" t="n">
        <v>45641</v>
      </c>
      <c r="D30" t="inlineStr">
        <is>
          <t>SKÅNE LÄN</t>
        </is>
      </c>
      <c r="E30" t="inlineStr">
        <is>
          <t>PERSTORP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68761-2019</t>
        </is>
      </c>
      <c r="B31" s="1" t="n">
        <v>43819</v>
      </c>
      <c r="C31" s="1" t="n">
        <v>45641</v>
      </c>
      <c r="D31" t="inlineStr">
        <is>
          <t>SKÅNE LÄN</t>
        </is>
      </c>
      <c r="E31" t="inlineStr">
        <is>
          <t>PERSTORP</t>
        </is>
      </c>
      <c r="G31" t="n">
        <v>3.7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68791-2019</t>
        </is>
      </c>
      <c r="B32" s="1" t="n">
        <v>43819</v>
      </c>
      <c r="C32" s="1" t="n">
        <v>45641</v>
      </c>
      <c r="D32" t="inlineStr">
        <is>
          <t>SKÅNE LÄN</t>
        </is>
      </c>
      <c r="E32" t="inlineStr">
        <is>
          <t>PERSTORP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1828-2020</t>
        </is>
      </c>
      <c r="B33" s="1" t="n">
        <v>43837</v>
      </c>
      <c r="C33" s="1" t="n">
        <v>45641</v>
      </c>
      <c r="D33" t="inlineStr">
        <is>
          <t>SKÅNE LÄN</t>
        </is>
      </c>
      <c r="E33" t="inlineStr">
        <is>
          <t>PERSTORP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2089-2020</t>
        </is>
      </c>
      <c r="B34" s="1" t="n">
        <v>43845</v>
      </c>
      <c r="C34" s="1" t="n">
        <v>45641</v>
      </c>
      <c r="D34" t="inlineStr">
        <is>
          <t>SKÅNE LÄN</t>
        </is>
      </c>
      <c r="E34" t="inlineStr">
        <is>
          <t>PERSTORP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10015-2020</t>
        </is>
      </c>
      <c r="B35" s="1" t="n">
        <v>43882</v>
      </c>
      <c r="C35" s="1" t="n">
        <v>45641</v>
      </c>
      <c r="D35" t="inlineStr">
        <is>
          <t>SKÅNE LÄN</t>
        </is>
      </c>
      <c r="E35" t="inlineStr">
        <is>
          <t>PERSTORP</t>
        </is>
      </c>
      <c r="G35" t="n">
        <v>5.2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13941-2020</t>
        </is>
      </c>
      <c r="B36" s="1" t="n">
        <v>43906</v>
      </c>
      <c r="C36" s="1" t="n">
        <v>45641</v>
      </c>
      <c r="D36" t="inlineStr">
        <is>
          <t>SKÅNE LÄN</t>
        </is>
      </c>
      <c r="E36" t="inlineStr">
        <is>
          <t>PERSTORP</t>
        </is>
      </c>
      <c r="G36" t="n">
        <v>2.7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18809-2020</t>
        </is>
      </c>
      <c r="B37" s="1" t="n">
        <v>43934</v>
      </c>
      <c r="C37" s="1" t="n">
        <v>45641</v>
      </c>
      <c r="D37" t="inlineStr">
        <is>
          <t>SKÅNE LÄN</t>
        </is>
      </c>
      <c r="E37" t="inlineStr">
        <is>
          <t>PERSTORP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25633-2020</t>
        </is>
      </c>
      <c r="B38" s="1" t="n">
        <v>43983</v>
      </c>
      <c r="C38" s="1" t="n">
        <v>45641</v>
      </c>
      <c r="D38" t="inlineStr">
        <is>
          <t>SKÅNE LÄN</t>
        </is>
      </c>
      <c r="E38" t="inlineStr">
        <is>
          <t>PERSTORP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26884-2020</t>
        </is>
      </c>
      <c r="B39" s="1" t="n">
        <v>43990</v>
      </c>
      <c r="C39" s="1" t="n">
        <v>45641</v>
      </c>
      <c r="D39" t="inlineStr">
        <is>
          <t>SKÅNE LÄN</t>
        </is>
      </c>
      <c r="E39" t="inlineStr">
        <is>
          <t>PERSTORP</t>
        </is>
      </c>
      <c r="F39" t="inlineStr">
        <is>
          <t>Övriga Aktiebolag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31542-2020</t>
        </is>
      </c>
      <c r="B40" s="1" t="n">
        <v>44013</v>
      </c>
      <c r="C40" s="1" t="n">
        <v>45641</v>
      </c>
      <c r="D40" t="inlineStr">
        <is>
          <t>SKÅNE LÄN</t>
        </is>
      </c>
      <c r="E40" t="inlineStr">
        <is>
          <t>PERSTORP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33505-2020</t>
        </is>
      </c>
      <c r="B41" s="1" t="n">
        <v>44025</v>
      </c>
      <c r="C41" s="1" t="n">
        <v>45641</v>
      </c>
      <c r="D41" t="inlineStr">
        <is>
          <t>SKÅNE LÄN</t>
        </is>
      </c>
      <c r="E41" t="inlineStr">
        <is>
          <t>PERSTORP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57452-2020</t>
        </is>
      </c>
      <c r="B42" s="1" t="n">
        <v>44140</v>
      </c>
      <c r="C42" s="1" t="n">
        <v>45641</v>
      </c>
      <c r="D42" t="inlineStr">
        <is>
          <t>SKÅNE LÄN</t>
        </is>
      </c>
      <c r="E42" t="inlineStr">
        <is>
          <t>PERSTORP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66666-2020</t>
        </is>
      </c>
      <c r="B43" s="1" t="n">
        <v>44179</v>
      </c>
      <c r="C43" s="1" t="n">
        <v>45641</v>
      </c>
      <c r="D43" t="inlineStr">
        <is>
          <t>SKÅNE LÄN</t>
        </is>
      </c>
      <c r="E43" t="inlineStr">
        <is>
          <t>PERSTORP</t>
        </is>
      </c>
      <c r="F43" t="inlineStr">
        <is>
          <t>Kyrkan</t>
        </is>
      </c>
      <c r="G43" t="n">
        <v>18.4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66668-2020</t>
        </is>
      </c>
      <c r="B44" s="1" t="n">
        <v>44179</v>
      </c>
      <c r="C44" s="1" t="n">
        <v>45641</v>
      </c>
      <c r="D44" t="inlineStr">
        <is>
          <t>SKÅNE LÄN</t>
        </is>
      </c>
      <c r="E44" t="inlineStr">
        <is>
          <t>PERSTORP</t>
        </is>
      </c>
      <c r="F44" t="inlineStr">
        <is>
          <t>Kyrkan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67630-2020</t>
        </is>
      </c>
      <c r="B45" s="1" t="n">
        <v>44182</v>
      </c>
      <c r="C45" s="1" t="n">
        <v>45641</v>
      </c>
      <c r="D45" t="inlineStr">
        <is>
          <t>SKÅNE LÄN</t>
        </is>
      </c>
      <c r="E45" t="inlineStr">
        <is>
          <t>PERSTORP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6528-2021</t>
        </is>
      </c>
      <c r="B46" s="1" t="n">
        <v>44235</v>
      </c>
      <c r="C46" s="1" t="n">
        <v>45641</v>
      </c>
      <c r="D46" t="inlineStr">
        <is>
          <t>SKÅNE LÄN</t>
        </is>
      </c>
      <c r="E46" t="inlineStr">
        <is>
          <t>PERSTORP</t>
        </is>
      </c>
      <c r="F46" t="inlineStr">
        <is>
          <t>Övriga Aktiebolag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6540-2021</t>
        </is>
      </c>
      <c r="B47" s="1" t="n">
        <v>44235</v>
      </c>
      <c r="C47" s="1" t="n">
        <v>45641</v>
      </c>
      <c r="D47" t="inlineStr">
        <is>
          <t>SKÅNE LÄN</t>
        </is>
      </c>
      <c r="E47" t="inlineStr">
        <is>
          <t>PERSTORP</t>
        </is>
      </c>
      <c r="F47" t="inlineStr">
        <is>
          <t>Övriga Aktiebolag</t>
        </is>
      </c>
      <c r="G47" t="n">
        <v>4.8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8683-2021</t>
        </is>
      </c>
      <c r="B48" s="1" t="n">
        <v>44245</v>
      </c>
      <c r="C48" s="1" t="n">
        <v>45641</v>
      </c>
      <c r="D48" t="inlineStr">
        <is>
          <t>SKÅNE LÄN</t>
        </is>
      </c>
      <c r="E48" t="inlineStr">
        <is>
          <t>PERSTORP</t>
        </is>
      </c>
      <c r="F48" t="inlineStr">
        <is>
          <t>Övriga Aktiebolag</t>
        </is>
      </c>
      <c r="G48" t="n">
        <v>13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8741-2021</t>
        </is>
      </c>
      <c r="B49" s="1" t="n">
        <v>44246</v>
      </c>
      <c r="C49" s="1" t="n">
        <v>45641</v>
      </c>
      <c r="D49" t="inlineStr">
        <is>
          <t>SKÅNE LÄN</t>
        </is>
      </c>
      <c r="E49" t="inlineStr">
        <is>
          <t>PERSTORP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10864-2021</t>
        </is>
      </c>
      <c r="B50" s="1" t="n">
        <v>44259</v>
      </c>
      <c r="C50" s="1" t="n">
        <v>45641</v>
      </c>
      <c r="D50" t="inlineStr">
        <is>
          <t>SKÅNE LÄN</t>
        </is>
      </c>
      <c r="E50" t="inlineStr">
        <is>
          <t>PERSTORP</t>
        </is>
      </c>
      <c r="F50" t="inlineStr">
        <is>
          <t>Kyrkan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15665-2021</t>
        </is>
      </c>
      <c r="B51" s="1" t="n">
        <v>44286</v>
      </c>
      <c r="C51" s="1" t="n">
        <v>45641</v>
      </c>
      <c r="D51" t="inlineStr">
        <is>
          <t>SKÅNE LÄN</t>
        </is>
      </c>
      <c r="E51" t="inlineStr">
        <is>
          <t>PERSTORP</t>
        </is>
      </c>
      <c r="G51" t="n">
        <v>5.7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16048-2021</t>
        </is>
      </c>
      <c r="B52" s="1" t="n">
        <v>44287</v>
      </c>
      <c r="C52" s="1" t="n">
        <v>45641</v>
      </c>
      <c r="D52" t="inlineStr">
        <is>
          <t>SKÅNE LÄN</t>
        </is>
      </c>
      <c r="E52" t="inlineStr">
        <is>
          <t>PERSTORP</t>
        </is>
      </c>
      <c r="G52" t="n">
        <v>0.3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16050-2021</t>
        </is>
      </c>
      <c r="B53" s="1" t="n">
        <v>44287</v>
      </c>
      <c r="C53" s="1" t="n">
        <v>45641</v>
      </c>
      <c r="D53" t="inlineStr">
        <is>
          <t>SKÅNE LÄN</t>
        </is>
      </c>
      <c r="E53" t="inlineStr">
        <is>
          <t>PERSTORP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18509-2021</t>
        </is>
      </c>
      <c r="B54" s="1" t="n">
        <v>44305</v>
      </c>
      <c r="C54" s="1" t="n">
        <v>45641</v>
      </c>
      <c r="D54" t="inlineStr">
        <is>
          <t>SKÅNE LÄN</t>
        </is>
      </c>
      <c r="E54" t="inlineStr">
        <is>
          <t>PERSTORP</t>
        </is>
      </c>
      <c r="F54" t="inlineStr">
        <is>
          <t>Övriga Aktiebolag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18512-2021</t>
        </is>
      </c>
      <c r="B55" s="1" t="n">
        <v>44305</v>
      </c>
      <c r="C55" s="1" t="n">
        <v>45641</v>
      </c>
      <c r="D55" t="inlineStr">
        <is>
          <t>SKÅNE LÄN</t>
        </is>
      </c>
      <c r="E55" t="inlineStr">
        <is>
          <t>PERSTORP</t>
        </is>
      </c>
      <c r="F55" t="inlineStr">
        <is>
          <t>Övriga Aktiebolag</t>
        </is>
      </c>
      <c r="G55" t="n">
        <v>13.5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18514-2021</t>
        </is>
      </c>
      <c r="B56" s="1" t="n">
        <v>44305</v>
      </c>
      <c r="C56" s="1" t="n">
        <v>45641</v>
      </c>
      <c r="D56" t="inlineStr">
        <is>
          <t>SKÅNE LÄN</t>
        </is>
      </c>
      <c r="E56" t="inlineStr">
        <is>
          <t>PERSTORP</t>
        </is>
      </c>
      <c r="F56" t="inlineStr">
        <is>
          <t>Övriga Aktiebolag</t>
        </is>
      </c>
      <c r="G56" t="n">
        <v>4.8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18616-2021</t>
        </is>
      </c>
      <c r="B57" s="1" t="n">
        <v>44306</v>
      </c>
      <c r="C57" s="1" t="n">
        <v>45641</v>
      </c>
      <c r="D57" t="inlineStr">
        <is>
          <t>SKÅNE LÄN</t>
        </is>
      </c>
      <c r="E57" t="inlineStr">
        <is>
          <t>PERSTORP</t>
        </is>
      </c>
      <c r="F57" t="inlineStr">
        <is>
          <t>Övriga Aktiebolag</t>
        </is>
      </c>
      <c r="G57" t="n">
        <v>3.4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18612-2021</t>
        </is>
      </c>
      <c r="B58" s="1" t="n">
        <v>44306</v>
      </c>
      <c r="C58" s="1" t="n">
        <v>45641</v>
      </c>
      <c r="D58" t="inlineStr">
        <is>
          <t>SKÅNE LÄN</t>
        </is>
      </c>
      <c r="E58" t="inlineStr">
        <is>
          <t>PERSTORP</t>
        </is>
      </c>
      <c r="F58" t="inlineStr">
        <is>
          <t>Övriga Aktiebolag</t>
        </is>
      </c>
      <c r="G58" t="n">
        <v>4.3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19621-2021</t>
        </is>
      </c>
      <c r="B59" s="1" t="n">
        <v>44312</v>
      </c>
      <c r="C59" s="1" t="n">
        <v>45641</v>
      </c>
      <c r="D59" t="inlineStr">
        <is>
          <t>SKÅNE LÄN</t>
        </is>
      </c>
      <c r="E59" t="inlineStr">
        <is>
          <t>PERSTORP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21949-2021</t>
        </is>
      </c>
      <c r="B60" s="1" t="n">
        <v>44323</v>
      </c>
      <c r="C60" s="1" t="n">
        <v>45641</v>
      </c>
      <c r="D60" t="inlineStr">
        <is>
          <t>SKÅNE LÄN</t>
        </is>
      </c>
      <c r="E60" t="inlineStr">
        <is>
          <t>PERSTORP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29743-2021</t>
        </is>
      </c>
      <c r="B61" s="1" t="n">
        <v>44362</v>
      </c>
      <c r="C61" s="1" t="n">
        <v>45641</v>
      </c>
      <c r="D61" t="inlineStr">
        <is>
          <t>SKÅNE LÄN</t>
        </is>
      </c>
      <c r="E61" t="inlineStr">
        <is>
          <t>PERSTORP</t>
        </is>
      </c>
      <c r="F61" t="inlineStr">
        <is>
          <t>Övriga Aktiebolag</t>
        </is>
      </c>
      <c r="G61" t="n">
        <v>12.8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29748-2021</t>
        </is>
      </c>
      <c r="B62" s="1" t="n">
        <v>44362</v>
      </c>
      <c r="C62" s="1" t="n">
        <v>45641</v>
      </c>
      <c r="D62" t="inlineStr">
        <is>
          <t>SKÅNE LÄN</t>
        </is>
      </c>
      <c r="E62" t="inlineStr">
        <is>
          <t>PERSTORP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29750-2021</t>
        </is>
      </c>
      <c r="B63" s="1" t="n">
        <v>44362</v>
      </c>
      <c r="C63" s="1" t="n">
        <v>45641</v>
      </c>
      <c r="D63" t="inlineStr">
        <is>
          <t>SKÅNE LÄN</t>
        </is>
      </c>
      <c r="E63" t="inlineStr">
        <is>
          <t>PERSTORP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30753-2021</t>
        </is>
      </c>
      <c r="B64" s="1" t="n">
        <v>44365</v>
      </c>
      <c r="C64" s="1" t="n">
        <v>45641</v>
      </c>
      <c r="D64" t="inlineStr">
        <is>
          <t>SKÅNE LÄN</t>
        </is>
      </c>
      <c r="E64" t="inlineStr">
        <is>
          <t>PERSTORP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30747-2021</t>
        </is>
      </c>
      <c r="B65" s="1" t="n">
        <v>44365</v>
      </c>
      <c r="C65" s="1" t="n">
        <v>45641</v>
      </c>
      <c r="D65" t="inlineStr">
        <is>
          <t>SKÅNE LÄN</t>
        </is>
      </c>
      <c r="E65" t="inlineStr">
        <is>
          <t>PERSTORP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31645-2021</t>
        </is>
      </c>
      <c r="B66" s="1" t="n">
        <v>44369</v>
      </c>
      <c r="C66" s="1" t="n">
        <v>45641</v>
      </c>
      <c r="D66" t="inlineStr">
        <is>
          <t>SKÅNE LÄN</t>
        </is>
      </c>
      <c r="E66" t="inlineStr">
        <is>
          <t>PERSTORP</t>
        </is>
      </c>
      <c r="F66" t="inlineStr">
        <is>
          <t>Kyrkan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47258-2021</t>
        </is>
      </c>
      <c r="B67" s="1" t="n">
        <v>44446</v>
      </c>
      <c r="C67" s="1" t="n">
        <v>45641</v>
      </c>
      <c r="D67" t="inlineStr">
        <is>
          <t>SKÅNE LÄN</t>
        </is>
      </c>
      <c r="E67" t="inlineStr">
        <is>
          <t>PERSTORP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47253-2021</t>
        </is>
      </c>
      <c r="B68" s="1" t="n">
        <v>44446</v>
      </c>
      <c r="C68" s="1" t="n">
        <v>45641</v>
      </c>
      <c r="D68" t="inlineStr">
        <is>
          <t>SKÅNE LÄN</t>
        </is>
      </c>
      <c r="E68" t="inlineStr">
        <is>
          <t>PERSTORP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47263-2021</t>
        </is>
      </c>
      <c r="B69" s="1" t="n">
        <v>44446</v>
      </c>
      <c r="C69" s="1" t="n">
        <v>45641</v>
      </c>
      <c r="D69" t="inlineStr">
        <is>
          <t>SKÅNE LÄN</t>
        </is>
      </c>
      <c r="E69" t="inlineStr">
        <is>
          <t>PERSTORP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47278-2021</t>
        </is>
      </c>
      <c r="B70" s="1" t="n">
        <v>44446</v>
      </c>
      <c r="C70" s="1" t="n">
        <v>45641</v>
      </c>
      <c r="D70" t="inlineStr">
        <is>
          <t>SKÅNE LÄN</t>
        </is>
      </c>
      <c r="E70" t="inlineStr">
        <is>
          <t>PERSTORP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48380-2021</t>
        </is>
      </c>
      <c r="B71" s="1" t="n">
        <v>44451</v>
      </c>
      <c r="C71" s="1" t="n">
        <v>45641</v>
      </c>
      <c r="D71" t="inlineStr">
        <is>
          <t>SKÅNE LÄN</t>
        </is>
      </c>
      <c r="E71" t="inlineStr">
        <is>
          <t>PERSTORP</t>
        </is>
      </c>
      <c r="G71" t="n">
        <v>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52729-2021</t>
        </is>
      </c>
      <c r="B72" s="1" t="n">
        <v>44467</v>
      </c>
      <c r="C72" s="1" t="n">
        <v>45641</v>
      </c>
      <c r="D72" t="inlineStr">
        <is>
          <t>SKÅNE LÄN</t>
        </is>
      </c>
      <c r="E72" t="inlineStr">
        <is>
          <t>PERSTORP</t>
        </is>
      </c>
      <c r="G72" t="n">
        <v>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53784-2021</t>
        </is>
      </c>
      <c r="B73" s="1" t="n">
        <v>44469</v>
      </c>
      <c r="C73" s="1" t="n">
        <v>45641</v>
      </c>
      <c r="D73" t="inlineStr">
        <is>
          <t>SKÅNE LÄN</t>
        </is>
      </c>
      <c r="E73" t="inlineStr">
        <is>
          <t>PERSTORP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54305-2021</t>
        </is>
      </c>
      <c r="B74" s="1" t="n">
        <v>44472</v>
      </c>
      <c r="C74" s="1" t="n">
        <v>45641</v>
      </c>
      <c r="D74" t="inlineStr">
        <is>
          <t>SKÅNE LÄN</t>
        </is>
      </c>
      <c r="E74" t="inlineStr">
        <is>
          <t>PERSTORP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54411-2021</t>
        </is>
      </c>
      <c r="B75" s="1" t="n">
        <v>44473</v>
      </c>
      <c r="C75" s="1" t="n">
        <v>45641</v>
      </c>
      <c r="D75" t="inlineStr">
        <is>
          <t>SKÅNE LÄN</t>
        </is>
      </c>
      <c r="E75" t="inlineStr">
        <is>
          <t>PERSTORP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57997-2021</t>
        </is>
      </c>
      <c r="B76" s="1" t="n">
        <v>44487</v>
      </c>
      <c r="C76" s="1" t="n">
        <v>45641</v>
      </c>
      <c r="D76" t="inlineStr">
        <is>
          <t>SKÅNE LÄN</t>
        </is>
      </c>
      <c r="E76" t="inlineStr">
        <is>
          <t>PERSTORP</t>
        </is>
      </c>
      <c r="G76" t="n">
        <v>3.1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59016-2021</t>
        </is>
      </c>
      <c r="B77" s="1" t="n">
        <v>44489</v>
      </c>
      <c r="C77" s="1" t="n">
        <v>45641</v>
      </c>
      <c r="D77" t="inlineStr">
        <is>
          <t>SKÅNE LÄN</t>
        </is>
      </c>
      <c r="E77" t="inlineStr">
        <is>
          <t>PERSTORP</t>
        </is>
      </c>
      <c r="F77" t="inlineStr">
        <is>
          <t>Övriga Aktiebolag</t>
        </is>
      </c>
      <c r="G77" t="n">
        <v>17.6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60021-2021</t>
        </is>
      </c>
      <c r="B78" s="1" t="n">
        <v>44495</v>
      </c>
      <c r="C78" s="1" t="n">
        <v>45641</v>
      </c>
      <c r="D78" t="inlineStr">
        <is>
          <t>SKÅNE LÄN</t>
        </is>
      </c>
      <c r="E78" t="inlineStr">
        <is>
          <t>PERSTORP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64627-2021</t>
        </is>
      </c>
      <c r="B79" s="1" t="n">
        <v>44511</v>
      </c>
      <c r="C79" s="1" t="n">
        <v>45641</v>
      </c>
      <c r="D79" t="inlineStr">
        <is>
          <t>SKÅNE LÄN</t>
        </is>
      </c>
      <c r="E79" t="inlineStr">
        <is>
          <t>PERSTORP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66803-2021</t>
        </is>
      </c>
      <c r="B80" s="1" t="n">
        <v>44522</v>
      </c>
      <c r="C80" s="1" t="n">
        <v>45641</v>
      </c>
      <c r="D80" t="inlineStr">
        <is>
          <t>SKÅNE LÄN</t>
        </is>
      </c>
      <c r="E80" t="inlineStr">
        <is>
          <t>PERSTORP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67669-2021</t>
        </is>
      </c>
      <c r="B81" s="1" t="n">
        <v>44524</v>
      </c>
      <c r="C81" s="1" t="n">
        <v>45641</v>
      </c>
      <c r="D81" t="inlineStr">
        <is>
          <t>SKÅNE LÄN</t>
        </is>
      </c>
      <c r="E81" t="inlineStr">
        <is>
          <t>PERSTORP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67671-2021</t>
        </is>
      </c>
      <c r="B82" s="1" t="n">
        <v>44524</v>
      </c>
      <c r="C82" s="1" t="n">
        <v>45641</v>
      </c>
      <c r="D82" t="inlineStr">
        <is>
          <t>SKÅNE LÄN</t>
        </is>
      </c>
      <c r="E82" t="inlineStr">
        <is>
          <t>PERSTORP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4688-2022</t>
        </is>
      </c>
      <c r="B83" s="1" t="n">
        <v>44592</v>
      </c>
      <c r="C83" s="1" t="n">
        <v>45641</v>
      </c>
      <c r="D83" t="inlineStr">
        <is>
          <t>SKÅNE LÄN</t>
        </is>
      </c>
      <c r="E83" t="inlineStr">
        <is>
          <t>PERSTORP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4989-2022</t>
        </is>
      </c>
      <c r="B84" s="1" t="n">
        <v>44593</v>
      </c>
      <c r="C84" s="1" t="n">
        <v>45641</v>
      </c>
      <c r="D84" t="inlineStr">
        <is>
          <t>SKÅNE LÄN</t>
        </is>
      </c>
      <c r="E84" t="inlineStr">
        <is>
          <t>PERSTORP</t>
        </is>
      </c>
      <c r="G84" t="n">
        <v>6.7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12182-2022</t>
        </is>
      </c>
      <c r="B85" s="1" t="n">
        <v>44636</v>
      </c>
      <c r="C85" s="1" t="n">
        <v>45641</v>
      </c>
      <c r="D85" t="inlineStr">
        <is>
          <t>SKÅNE LÄN</t>
        </is>
      </c>
      <c r="E85" t="inlineStr">
        <is>
          <t>PERSTORP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25736-2022</t>
        </is>
      </c>
      <c r="B86" s="1" t="n">
        <v>44733</v>
      </c>
      <c r="C86" s="1" t="n">
        <v>45641</v>
      </c>
      <c r="D86" t="inlineStr">
        <is>
          <t>SKÅNE LÄN</t>
        </is>
      </c>
      <c r="E86" t="inlineStr">
        <is>
          <t>PERSTORP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26501-2022</t>
        </is>
      </c>
      <c r="B87" s="1" t="n">
        <v>44739</v>
      </c>
      <c r="C87" s="1" t="n">
        <v>45641</v>
      </c>
      <c r="D87" t="inlineStr">
        <is>
          <t>SKÅNE LÄN</t>
        </is>
      </c>
      <c r="E87" t="inlineStr">
        <is>
          <t>PERSTORP</t>
        </is>
      </c>
      <c r="G87" t="n">
        <v>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28237-2022</t>
        </is>
      </c>
      <c r="B88" s="1" t="n">
        <v>44746</v>
      </c>
      <c r="C88" s="1" t="n">
        <v>45641</v>
      </c>
      <c r="D88" t="inlineStr">
        <is>
          <t>SKÅNE LÄN</t>
        </is>
      </c>
      <c r="E88" t="inlineStr">
        <is>
          <t>PERSTORP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28247-2022</t>
        </is>
      </c>
      <c r="B89" s="1" t="n">
        <v>44746</v>
      </c>
      <c r="C89" s="1" t="n">
        <v>45641</v>
      </c>
      <c r="D89" t="inlineStr">
        <is>
          <t>SKÅNE LÄN</t>
        </is>
      </c>
      <c r="E89" t="inlineStr">
        <is>
          <t>PERSTORP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28244-2022</t>
        </is>
      </c>
      <c r="B90" s="1" t="n">
        <v>44746</v>
      </c>
      <c r="C90" s="1" t="n">
        <v>45641</v>
      </c>
      <c r="D90" t="inlineStr">
        <is>
          <t>SKÅNE LÄN</t>
        </is>
      </c>
      <c r="E90" t="inlineStr">
        <is>
          <t>PERSTORP</t>
        </is>
      </c>
      <c r="G90" t="n">
        <v>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34666-2022</t>
        </is>
      </c>
      <c r="B91" s="1" t="n">
        <v>44795</v>
      </c>
      <c r="C91" s="1" t="n">
        <v>45641</v>
      </c>
      <c r="D91" t="inlineStr">
        <is>
          <t>SKÅNE LÄN</t>
        </is>
      </c>
      <c r="E91" t="inlineStr">
        <is>
          <t>PERSTORP</t>
        </is>
      </c>
      <c r="G91" t="n">
        <v>3.1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51207-2022</t>
        </is>
      </c>
      <c r="B92" s="1" t="n">
        <v>44868</v>
      </c>
      <c r="C92" s="1" t="n">
        <v>45641</v>
      </c>
      <c r="D92" t="inlineStr">
        <is>
          <t>SKÅNE LÄN</t>
        </is>
      </c>
      <c r="E92" t="inlineStr">
        <is>
          <t>PERSTORP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53586-2022</t>
        </is>
      </c>
      <c r="B93" s="1" t="n">
        <v>44875</v>
      </c>
      <c r="C93" s="1" t="n">
        <v>45641</v>
      </c>
      <c r="D93" t="inlineStr">
        <is>
          <t>SKÅNE LÄN</t>
        </is>
      </c>
      <c r="E93" t="inlineStr">
        <is>
          <t>PERSTORP</t>
        </is>
      </c>
      <c r="F93" t="inlineStr">
        <is>
          <t>Övriga Aktiebolag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54095-2022</t>
        </is>
      </c>
      <c r="B94" s="1" t="n">
        <v>44879</v>
      </c>
      <c r="C94" s="1" t="n">
        <v>45641</v>
      </c>
      <c r="D94" t="inlineStr">
        <is>
          <t>SKÅNE LÄN</t>
        </is>
      </c>
      <c r="E94" t="inlineStr">
        <is>
          <t>PERSTORP</t>
        </is>
      </c>
      <c r="F94" t="inlineStr">
        <is>
          <t>Övriga Aktiebolag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54100-2022</t>
        </is>
      </c>
      <c r="B95" s="1" t="n">
        <v>44879</v>
      </c>
      <c r="C95" s="1" t="n">
        <v>45641</v>
      </c>
      <c r="D95" t="inlineStr">
        <is>
          <t>SKÅNE LÄN</t>
        </is>
      </c>
      <c r="E95" t="inlineStr">
        <is>
          <t>PERSTORP</t>
        </is>
      </c>
      <c r="F95" t="inlineStr">
        <is>
          <t>Övriga Aktiebolag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55410-2022</t>
        </is>
      </c>
      <c r="B96" s="1" t="n">
        <v>44882</v>
      </c>
      <c r="C96" s="1" t="n">
        <v>45641</v>
      </c>
      <c r="D96" t="inlineStr">
        <is>
          <t>SKÅNE LÄN</t>
        </is>
      </c>
      <c r="E96" t="inlineStr">
        <is>
          <t>PERSTORP</t>
        </is>
      </c>
      <c r="F96" t="inlineStr">
        <is>
          <t>Övriga Aktiebolag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55416-2022</t>
        </is>
      </c>
      <c r="B97" s="1" t="n">
        <v>44882</v>
      </c>
      <c r="C97" s="1" t="n">
        <v>45641</v>
      </c>
      <c r="D97" t="inlineStr">
        <is>
          <t>SKÅNE LÄN</t>
        </is>
      </c>
      <c r="E97" t="inlineStr">
        <is>
          <t>PERSTORP</t>
        </is>
      </c>
      <c r="F97" t="inlineStr">
        <is>
          <t>Övriga Aktiebolag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59760-2022</t>
        </is>
      </c>
      <c r="B98" s="1" t="n">
        <v>44900</v>
      </c>
      <c r="C98" s="1" t="n">
        <v>45641</v>
      </c>
      <c r="D98" t="inlineStr">
        <is>
          <t>SKÅNE LÄN</t>
        </is>
      </c>
      <c r="E98" t="inlineStr">
        <is>
          <t>PERSTORP</t>
        </is>
      </c>
      <c r="F98" t="inlineStr">
        <is>
          <t>Övriga Aktiebolag</t>
        </is>
      </c>
      <c r="G98" t="n">
        <v>5.2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61972-2022</t>
        </is>
      </c>
      <c r="B99" s="1" t="n">
        <v>44918</v>
      </c>
      <c r="C99" s="1" t="n">
        <v>45641</v>
      </c>
      <c r="D99" t="inlineStr">
        <is>
          <t>SKÅNE LÄN</t>
        </is>
      </c>
      <c r="E99" t="inlineStr">
        <is>
          <t>PERSTORP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62293-2022</t>
        </is>
      </c>
      <c r="B100" s="1" t="n">
        <v>44923</v>
      </c>
      <c r="C100" s="1" t="n">
        <v>45641</v>
      </c>
      <c r="D100" t="inlineStr">
        <is>
          <t>SKÅNE LÄN</t>
        </is>
      </c>
      <c r="E100" t="inlineStr">
        <is>
          <t>PERSTORP</t>
        </is>
      </c>
      <c r="G100" t="n">
        <v>3.7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62296-2022</t>
        </is>
      </c>
      <c r="B101" s="1" t="n">
        <v>44923</v>
      </c>
      <c r="C101" s="1" t="n">
        <v>45641</v>
      </c>
      <c r="D101" t="inlineStr">
        <is>
          <t>SKÅNE LÄN</t>
        </is>
      </c>
      <c r="E101" t="inlineStr">
        <is>
          <t>PERSTORP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2015-2023</t>
        </is>
      </c>
      <c r="B102" s="1" t="n">
        <v>44939</v>
      </c>
      <c r="C102" s="1" t="n">
        <v>45641</v>
      </c>
      <c r="D102" t="inlineStr">
        <is>
          <t>SKÅNE LÄN</t>
        </is>
      </c>
      <c r="E102" t="inlineStr">
        <is>
          <t>PERSTORP</t>
        </is>
      </c>
      <c r="G102" t="n">
        <v>1.5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2950-2023</t>
        </is>
      </c>
      <c r="B103" s="1" t="n">
        <v>44945</v>
      </c>
      <c r="C103" s="1" t="n">
        <v>45641</v>
      </c>
      <c r="D103" t="inlineStr">
        <is>
          <t>SKÅNE LÄN</t>
        </is>
      </c>
      <c r="E103" t="inlineStr">
        <is>
          <t>PERSTORP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8562-2023</t>
        </is>
      </c>
      <c r="B104" s="1" t="n">
        <v>44977</v>
      </c>
      <c r="C104" s="1" t="n">
        <v>45641</v>
      </c>
      <c r="D104" t="inlineStr">
        <is>
          <t>SKÅNE LÄN</t>
        </is>
      </c>
      <c r="E104" t="inlineStr">
        <is>
          <t>PERSTORP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8565-2023</t>
        </is>
      </c>
      <c r="B105" s="1" t="n">
        <v>44977</v>
      </c>
      <c r="C105" s="1" t="n">
        <v>45641</v>
      </c>
      <c r="D105" t="inlineStr">
        <is>
          <t>SKÅNE LÄN</t>
        </is>
      </c>
      <c r="E105" t="inlineStr">
        <is>
          <t>PERSTORP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9368-2023</t>
        </is>
      </c>
      <c r="B106" s="1" t="n">
        <v>44981</v>
      </c>
      <c r="C106" s="1" t="n">
        <v>45641</v>
      </c>
      <c r="D106" t="inlineStr">
        <is>
          <t>SKÅNE LÄN</t>
        </is>
      </c>
      <c r="E106" t="inlineStr">
        <is>
          <t>PERSTORP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11663-2023</t>
        </is>
      </c>
      <c r="B107" s="1" t="n">
        <v>44992</v>
      </c>
      <c r="C107" s="1" t="n">
        <v>45641</v>
      </c>
      <c r="D107" t="inlineStr">
        <is>
          <t>SKÅNE LÄN</t>
        </is>
      </c>
      <c r="E107" t="inlineStr">
        <is>
          <t>PERSTORP</t>
        </is>
      </c>
      <c r="F107" t="inlineStr">
        <is>
          <t>Övriga Aktiebolag</t>
        </is>
      </c>
      <c r="G107" t="n">
        <v>7.6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11669-2023</t>
        </is>
      </c>
      <c r="B108" s="1" t="n">
        <v>44992</v>
      </c>
      <c r="C108" s="1" t="n">
        <v>45641</v>
      </c>
      <c r="D108" t="inlineStr">
        <is>
          <t>SKÅNE LÄN</t>
        </is>
      </c>
      <c r="E108" t="inlineStr">
        <is>
          <t>PERSTORP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11701-2023</t>
        </is>
      </c>
      <c r="B109" s="1" t="n">
        <v>44992</v>
      </c>
      <c r="C109" s="1" t="n">
        <v>45641</v>
      </c>
      <c r="D109" t="inlineStr">
        <is>
          <t>SKÅNE LÄN</t>
        </is>
      </c>
      <c r="E109" t="inlineStr">
        <is>
          <t>PERSTORP</t>
        </is>
      </c>
      <c r="F109" t="inlineStr">
        <is>
          <t>Övriga Aktiebolag</t>
        </is>
      </c>
      <c r="G109" t="n">
        <v>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11836-2023</t>
        </is>
      </c>
      <c r="B110" s="1" t="n">
        <v>44994</v>
      </c>
      <c r="C110" s="1" t="n">
        <v>45641</v>
      </c>
      <c r="D110" t="inlineStr">
        <is>
          <t>SKÅNE LÄN</t>
        </is>
      </c>
      <c r="E110" t="inlineStr">
        <is>
          <t>PERSTORP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13267-2023</t>
        </is>
      </c>
      <c r="B111" s="1" t="n">
        <v>45003</v>
      </c>
      <c r="C111" s="1" t="n">
        <v>45641</v>
      </c>
      <c r="D111" t="inlineStr">
        <is>
          <t>SKÅNE LÄN</t>
        </is>
      </c>
      <c r="E111" t="inlineStr">
        <is>
          <t>PERSTORP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13410-2023</t>
        </is>
      </c>
      <c r="B112" s="1" t="n">
        <v>45005</v>
      </c>
      <c r="C112" s="1" t="n">
        <v>45641</v>
      </c>
      <c r="D112" t="inlineStr">
        <is>
          <t>SKÅNE LÄN</t>
        </is>
      </c>
      <c r="E112" t="inlineStr">
        <is>
          <t>PERSTORP</t>
        </is>
      </c>
      <c r="F112" t="inlineStr">
        <is>
          <t>Övriga Aktiebolag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15354-2023</t>
        </is>
      </c>
      <c r="B113" s="1" t="n">
        <v>45019</v>
      </c>
      <c r="C113" s="1" t="n">
        <v>45641</v>
      </c>
      <c r="D113" t="inlineStr">
        <is>
          <t>SKÅNE LÄN</t>
        </is>
      </c>
      <c r="E113" t="inlineStr">
        <is>
          <t>PERSTORP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16395-2023</t>
        </is>
      </c>
      <c r="B114" s="1" t="n">
        <v>45029</v>
      </c>
      <c r="C114" s="1" t="n">
        <v>45641</v>
      </c>
      <c r="D114" t="inlineStr">
        <is>
          <t>SKÅNE LÄN</t>
        </is>
      </c>
      <c r="E114" t="inlineStr">
        <is>
          <t>PERSTORP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21208-2023</t>
        </is>
      </c>
      <c r="B115" s="1" t="n">
        <v>45062</v>
      </c>
      <c r="C115" s="1" t="n">
        <v>45641</v>
      </c>
      <c r="D115" t="inlineStr">
        <is>
          <t>SKÅNE LÄN</t>
        </is>
      </c>
      <c r="E115" t="inlineStr">
        <is>
          <t>PERSTORP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21930-2023</t>
        </is>
      </c>
      <c r="B116" s="1" t="n">
        <v>45068</v>
      </c>
      <c r="C116" s="1" t="n">
        <v>45641</v>
      </c>
      <c r="D116" t="inlineStr">
        <is>
          <t>SKÅNE LÄN</t>
        </is>
      </c>
      <c r="E116" t="inlineStr">
        <is>
          <t>PERSTORP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23702-2023</t>
        </is>
      </c>
      <c r="B117" s="1" t="n">
        <v>45077</v>
      </c>
      <c r="C117" s="1" t="n">
        <v>45641</v>
      </c>
      <c r="D117" t="inlineStr">
        <is>
          <t>SKÅNE LÄN</t>
        </is>
      </c>
      <c r="E117" t="inlineStr">
        <is>
          <t>PERSTORP</t>
        </is>
      </c>
      <c r="G117" t="n">
        <v>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23785-2023</t>
        </is>
      </c>
      <c r="B118" s="1" t="n">
        <v>45078</v>
      </c>
      <c r="C118" s="1" t="n">
        <v>45641</v>
      </c>
      <c r="D118" t="inlineStr">
        <is>
          <t>SKÅNE LÄN</t>
        </is>
      </c>
      <c r="E118" t="inlineStr">
        <is>
          <t>PERSTORP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23786-2023</t>
        </is>
      </c>
      <c r="B119" s="1" t="n">
        <v>45078</v>
      </c>
      <c r="C119" s="1" t="n">
        <v>45641</v>
      </c>
      <c r="D119" t="inlineStr">
        <is>
          <t>SKÅNE LÄN</t>
        </is>
      </c>
      <c r="E119" t="inlineStr">
        <is>
          <t>PERSTORP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25272-2023</t>
        </is>
      </c>
      <c r="B120" s="1" t="n">
        <v>45086</v>
      </c>
      <c r="C120" s="1" t="n">
        <v>45641</v>
      </c>
      <c r="D120" t="inlineStr">
        <is>
          <t>SKÅNE LÄN</t>
        </is>
      </c>
      <c r="E120" t="inlineStr">
        <is>
          <t>PERSTORP</t>
        </is>
      </c>
      <c r="F120" t="inlineStr">
        <is>
          <t>Övriga Aktiebolag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31803-2023</t>
        </is>
      </c>
      <c r="B121" s="1" t="n">
        <v>45106</v>
      </c>
      <c r="C121" s="1" t="n">
        <v>45641</v>
      </c>
      <c r="D121" t="inlineStr">
        <is>
          <t>SKÅNE LÄN</t>
        </is>
      </c>
      <c r="E121" t="inlineStr">
        <is>
          <t>PERSTORP</t>
        </is>
      </c>
      <c r="F121" t="inlineStr">
        <is>
          <t>Övriga Aktiebolag</t>
        </is>
      </c>
      <c r="G121" t="n">
        <v>10.9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31802-2023</t>
        </is>
      </c>
      <c r="B122" s="1" t="n">
        <v>45106</v>
      </c>
      <c r="C122" s="1" t="n">
        <v>45641</v>
      </c>
      <c r="D122" t="inlineStr">
        <is>
          <t>SKÅNE LÄN</t>
        </is>
      </c>
      <c r="E122" t="inlineStr">
        <is>
          <t>PERSTORP</t>
        </is>
      </c>
      <c r="F122" t="inlineStr">
        <is>
          <t>Övriga Aktiebolag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29867-2023</t>
        </is>
      </c>
      <c r="B123" s="1" t="n">
        <v>45107</v>
      </c>
      <c r="C123" s="1" t="n">
        <v>45641</v>
      </c>
      <c r="D123" t="inlineStr">
        <is>
          <t>SKÅNE LÄN</t>
        </is>
      </c>
      <c r="E123" t="inlineStr">
        <is>
          <t>PERSTORP</t>
        </is>
      </c>
      <c r="G123" t="n">
        <v>6.2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29874-2023</t>
        </is>
      </c>
      <c r="B124" s="1" t="n">
        <v>45107</v>
      </c>
      <c r="C124" s="1" t="n">
        <v>45641</v>
      </c>
      <c r="D124" t="inlineStr">
        <is>
          <t>SKÅNE LÄN</t>
        </is>
      </c>
      <c r="E124" t="inlineStr">
        <is>
          <t>PERSTORP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35194-2023</t>
        </is>
      </c>
      <c r="B125" s="1" t="n">
        <v>45145</v>
      </c>
      <c r="C125" s="1" t="n">
        <v>45641</v>
      </c>
      <c r="D125" t="inlineStr">
        <is>
          <t>SKÅNE LÄN</t>
        </is>
      </c>
      <c r="E125" t="inlineStr">
        <is>
          <t>PERSTORP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36855-2023</t>
        </is>
      </c>
      <c r="B126" s="1" t="n">
        <v>45154</v>
      </c>
      <c r="C126" s="1" t="n">
        <v>45641</v>
      </c>
      <c r="D126" t="inlineStr">
        <is>
          <t>SKÅNE LÄN</t>
        </is>
      </c>
      <c r="E126" t="inlineStr">
        <is>
          <t>PERSTORP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37387-2023</t>
        </is>
      </c>
      <c r="B127" s="1" t="n">
        <v>45156</v>
      </c>
      <c r="C127" s="1" t="n">
        <v>45641</v>
      </c>
      <c r="D127" t="inlineStr">
        <is>
          <t>SKÅNE LÄN</t>
        </is>
      </c>
      <c r="E127" t="inlineStr">
        <is>
          <t>PERSTORP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38329-2023</t>
        </is>
      </c>
      <c r="B128" s="1" t="n">
        <v>45161</v>
      </c>
      <c r="C128" s="1" t="n">
        <v>45641</v>
      </c>
      <c r="D128" t="inlineStr">
        <is>
          <t>SKÅNE LÄN</t>
        </is>
      </c>
      <c r="E128" t="inlineStr">
        <is>
          <t>PERSTORP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38326-2023</t>
        </is>
      </c>
      <c r="B129" s="1" t="n">
        <v>45161</v>
      </c>
      <c r="C129" s="1" t="n">
        <v>45641</v>
      </c>
      <c r="D129" t="inlineStr">
        <is>
          <t>SKÅNE LÄN</t>
        </is>
      </c>
      <c r="E129" t="inlineStr">
        <is>
          <t>PERSTORP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38324-2023</t>
        </is>
      </c>
      <c r="B130" s="1" t="n">
        <v>45161</v>
      </c>
      <c r="C130" s="1" t="n">
        <v>45641</v>
      </c>
      <c r="D130" t="inlineStr">
        <is>
          <t>SKÅNE LÄN</t>
        </is>
      </c>
      <c r="E130" t="inlineStr">
        <is>
          <t>PERSTORP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38328-2023</t>
        </is>
      </c>
      <c r="B131" s="1" t="n">
        <v>45161</v>
      </c>
      <c r="C131" s="1" t="n">
        <v>45641</v>
      </c>
      <c r="D131" t="inlineStr">
        <is>
          <t>SKÅNE LÄN</t>
        </is>
      </c>
      <c r="E131" t="inlineStr">
        <is>
          <t>PERSTORP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38936-2023</t>
        </is>
      </c>
      <c r="B132" s="1" t="n">
        <v>45163</v>
      </c>
      <c r="C132" s="1" t="n">
        <v>45641</v>
      </c>
      <c r="D132" t="inlineStr">
        <is>
          <t>SKÅNE LÄN</t>
        </is>
      </c>
      <c r="E132" t="inlineStr">
        <is>
          <t>PERSTORP</t>
        </is>
      </c>
      <c r="G132" t="n">
        <v>2.4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46373-2023</t>
        </is>
      </c>
      <c r="B133" s="1" t="n">
        <v>45197</v>
      </c>
      <c r="C133" s="1" t="n">
        <v>45641</v>
      </c>
      <c r="D133" t="inlineStr">
        <is>
          <t>SKÅNE LÄN</t>
        </is>
      </c>
      <c r="E133" t="inlineStr">
        <is>
          <t>PERSTORP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47065-2023</t>
        </is>
      </c>
      <c r="B134" s="1" t="n">
        <v>45201</v>
      </c>
      <c r="C134" s="1" t="n">
        <v>45641</v>
      </c>
      <c r="D134" t="inlineStr">
        <is>
          <t>SKÅNE LÄN</t>
        </is>
      </c>
      <c r="E134" t="inlineStr">
        <is>
          <t>PERSTORP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47950-2023</t>
        </is>
      </c>
      <c r="B135" s="1" t="n">
        <v>45204</v>
      </c>
      <c r="C135" s="1" t="n">
        <v>45641</v>
      </c>
      <c r="D135" t="inlineStr">
        <is>
          <t>SKÅNE LÄN</t>
        </is>
      </c>
      <c r="E135" t="inlineStr">
        <is>
          <t>PERSTORP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51059-2023</t>
        </is>
      </c>
      <c r="B136" s="1" t="n">
        <v>45218</v>
      </c>
      <c r="C136" s="1" t="n">
        <v>45641</v>
      </c>
      <c r="D136" t="inlineStr">
        <is>
          <t>SKÅNE LÄN</t>
        </is>
      </c>
      <c r="E136" t="inlineStr">
        <is>
          <t>PERSTORP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52575-2023</t>
        </is>
      </c>
      <c r="B137" s="1" t="n">
        <v>45219</v>
      </c>
      <c r="C137" s="1" t="n">
        <v>45641</v>
      </c>
      <c r="D137" t="inlineStr">
        <is>
          <t>SKÅNE LÄN</t>
        </is>
      </c>
      <c r="E137" t="inlineStr">
        <is>
          <t>PERSTORP</t>
        </is>
      </c>
      <c r="F137" t="inlineStr">
        <is>
          <t>Övriga Aktiebolag</t>
        </is>
      </c>
      <c r="G137" t="n">
        <v>10.2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52583-2023</t>
        </is>
      </c>
      <c r="B138" s="1" t="n">
        <v>45219</v>
      </c>
      <c r="C138" s="1" t="n">
        <v>45641</v>
      </c>
      <c r="D138" t="inlineStr">
        <is>
          <t>SKÅNE LÄN</t>
        </is>
      </c>
      <c r="E138" t="inlineStr">
        <is>
          <t>PERSTORP</t>
        </is>
      </c>
      <c r="F138" t="inlineStr">
        <is>
          <t>Övriga Aktiebolag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52596-2023</t>
        </is>
      </c>
      <c r="B139" s="1" t="n">
        <v>45219</v>
      </c>
      <c r="C139" s="1" t="n">
        <v>45641</v>
      </c>
      <c r="D139" t="inlineStr">
        <is>
          <t>SKÅNE LÄN</t>
        </is>
      </c>
      <c r="E139" t="inlineStr">
        <is>
          <t>PERSTORP</t>
        </is>
      </c>
      <c r="F139" t="inlineStr">
        <is>
          <t>Övriga Aktiebolag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52615-2023</t>
        </is>
      </c>
      <c r="B140" s="1" t="n">
        <v>45219</v>
      </c>
      <c r="C140" s="1" t="n">
        <v>45641</v>
      </c>
      <c r="D140" t="inlineStr">
        <is>
          <t>SKÅNE LÄN</t>
        </is>
      </c>
      <c r="E140" t="inlineStr">
        <is>
          <t>PERSTORP</t>
        </is>
      </c>
      <c r="F140" t="inlineStr">
        <is>
          <t>Övriga Aktiebolag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52617-2023</t>
        </is>
      </c>
      <c r="B141" s="1" t="n">
        <v>45219</v>
      </c>
      <c r="C141" s="1" t="n">
        <v>45641</v>
      </c>
      <c r="D141" t="inlineStr">
        <is>
          <t>SKÅNE LÄN</t>
        </is>
      </c>
      <c r="E141" t="inlineStr">
        <is>
          <t>PERSTORP</t>
        </is>
      </c>
      <c r="F141" t="inlineStr">
        <is>
          <t>Övriga Aktiebolag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52581-2023</t>
        </is>
      </c>
      <c r="B142" s="1" t="n">
        <v>45219</v>
      </c>
      <c r="C142" s="1" t="n">
        <v>45641</v>
      </c>
      <c r="D142" t="inlineStr">
        <is>
          <t>SKÅNE LÄN</t>
        </is>
      </c>
      <c r="E142" t="inlineStr">
        <is>
          <t>PERSTORP</t>
        </is>
      </c>
      <c r="F142" t="inlineStr">
        <is>
          <t>Övriga Aktiebolag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52653-2023</t>
        </is>
      </c>
      <c r="B143" s="1" t="n">
        <v>45225</v>
      </c>
      <c r="C143" s="1" t="n">
        <v>45641</v>
      </c>
      <c r="D143" t="inlineStr">
        <is>
          <t>SKÅNE LÄN</t>
        </is>
      </c>
      <c r="E143" t="inlineStr">
        <is>
          <t>PERSTORP</t>
        </is>
      </c>
      <c r="G143" t="n">
        <v>9.9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53135-2023</t>
        </is>
      </c>
      <c r="B144" s="1" t="n">
        <v>45229</v>
      </c>
      <c r="C144" s="1" t="n">
        <v>45641</v>
      </c>
      <c r="D144" t="inlineStr">
        <is>
          <t>SKÅNE LÄN</t>
        </is>
      </c>
      <c r="E144" t="inlineStr">
        <is>
          <t>PERSTORP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53875-2023</t>
        </is>
      </c>
      <c r="B145" s="1" t="n">
        <v>45231</v>
      </c>
      <c r="C145" s="1" t="n">
        <v>45641</v>
      </c>
      <c r="D145" t="inlineStr">
        <is>
          <t>SKÅNE LÄN</t>
        </is>
      </c>
      <c r="E145" t="inlineStr">
        <is>
          <t>PERSTORP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54647-2023</t>
        </is>
      </c>
      <c r="B146" s="1" t="n">
        <v>45235</v>
      </c>
      <c r="C146" s="1" t="n">
        <v>45641</v>
      </c>
      <c r="D146" t="inlineStr">
        <is>
          <t>SKÅNE LÄN</t>
        </is>
      </c>
      <c r="E146" t="inlineStr">
        <is>
          <t>PERSTORP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54750-2023</t>
        </is>
      </c>
      <c r="B147" s="1" t="n">
        <v>45236</v>
      </c>
      <c r="C147" s="1" t="n">
        <v>45641</v>
      </c>
      <c r="D147" t="inlineStr">
        <is>
          <t>SKÅNE LÄN</t>
        </is>
      </c>
      <c r="E147" t="inlineStr">
        <is>
          <t>PERSTORP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55519-2023</t>
        </is>
      </c>
      <c r="B148" s="1" t="n">
        <v>45238</v>
      </c>
      <c r="C148" s="1" t="n">
        <v>45641</v>
      </c>
      <c r="D148" t="inlineStr">
        <is>
          <t>SKÅNE LÄN</t>
        </is>
      </c>
      <c r="E148" t="inlineStr">
        <is>
          <t>PERSTORP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60498-2023</t>
        </is>
      </c>
      <c r="B149" s="1" t="n">
        <v>45259</v>
      </c>
      <c r="C149" s="1" t="n">
        <v>45641</v>
      </c>
      <c r="D149" t="inlineStr">
        <is>
          <t>SKÅNE LÄN</t>
        </is>
      </c>
      <c r="E149" t="inlineStr">
        <is>
          <t>PERSTORP</t>
        </is>
      </c>
      <c r="F149" t="inlineStr">
        <is>
          <t>Övriga Aktiebolag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60511-2023</t>
        </is>
      </c>
      <c r="B150" s="1" t="n">
        <v>45259</v>
      </c>
      <c r="C150" s="1" t="n">
        <v>45641</v>
      </c>
      <c r="D150" t="inlineStr">
        <is>
          <t>SKÅNE LÄN</t>
        </is>
      </c>
      <c r="E150" t="inlineStr">
        <is>
          <t>PERSTORP</t>
        </is>
      </c>
      <c r="F150" t="inlineStr">
        <is>
          <t>Övriga Aktiebolag</t>
        </is>
      </c>
      <c r="G150" t="n">
        <v>3.4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60504-2023</t>
        </is>
      </c>
      <c r="B151" s="1" t="n">
        <v>45259</v>
      </c>
      <c r="C151" s="1" t="n">
        <v>45641</v>
      </c>
      <c r="D151" t="inlineStr">
        <is>
          <t>SKÅNE LÄN</t>
        </is>
      </c>
      <c r="E151" t="inlineStr">
        <is>
          <t>PERSTORP</t>
        </is>
      </c>
      <c r="F151" t="inlineStr">
        <is>
          <t>Övriga Aktiebolag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60501-2023</t>
        </is>
      </c>
      <c r="B152" s="1" t="n">
        <v>45259</v>
      </c>
      <c r="C152" s="1" t="n">
        <v>45641</v>
      </c>
      <c r="D152" t="inlineStr">
        <is>
          <t>SKÅNE LÄN</t>
        </is>
      </c>
      <c r="E152" t="inlineStr">
        <is>
          <t>PERSTORP</t>
        </is>
      </c>
      <c r="F152" t="inlineStr">
        <is>
          <t>Övriga Aktiebolag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60506-2023</t>
        </is>
      </c>
      <c r="B153" s="1" t="n">
        <v>45259</v>
      </c>
      <c r="C153" s="1" t="n">
        <v>45641</v>
      </c>
      <c r="D153" t="inlineStr">
        <is>
          <t>SKÅNE LÄN</t>
        </is>
      </c>
      <c r="E153" t="inlineStr">
        <is>
          <t>PERSTORP</t>
        </is>
      </c>
      <c r="F153" t="inlineStr">
        <is>
          <t>Övriga Aktiebolag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61702-2023</t>
        </is>
      </c>
      <c r="B154" s="1" t="n">
        <v>45265</v>
      </c>
      <c r="C154" s="1" t="n">
        <v>45641</v>
      </c>
      <c r="D154" t="inlineStr">
        <is>
          <t>SKÅNE LÄN</t>
        </is>
      </c>
      <c r="E154" t="inlineStr">
        <is>
          <t>PERSTORP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61859-2023</t>
        </is>
      </c>
      <c r="B155" s="1" t="n">
        <v>45265</v>
      </c>
      <c r="C155" s="1" t="n">
        <v>45641</v>
      </c>
      <c r="D155" t="inlineStr">
        <is>
          <t>SKÅNE LÄN</t>
        </is>
      </c>
      <c r="E155" t="inlineStr">
        <is>
          <t>PERSTORP</t>
        </is>
      </c>
      <c r="F155" t="inlineStr">
        <is>
          <t>Övriga Aktiebolag</t>
        </is>
      </c>
      <c r="G155" t="n">
        <v>6.8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1167-2024</t>
        </is>
      </c>
      <c r="B156" s="1" t="n">
        <v>45302</v>
      </c>
      <c r="C156" s="1" t="n">
        <v>45641</v>
      </c>
      <c r="D156" t="inlineStr">
        <is>
          <t>SKÅNE LÄN</t>
        </is>
      </c>
      <c r="E156" t="inlineStr">
        <is>
          <t>PERSTORP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1166-2024</t>
        </is>
      </c>
      <c r="B157" s="1" t="n">
        <v>45302</v>
      </c>
      <c r="C157" s="1" t="n">
        <v>45641</v>
      </c>
      <c r="D157" t="inlineStr">
        <is>
          <t>SKÅNE LÄN</t>
        </is>
      </c>
      <c r="E157" t="inlineStr">
        <is>
          <t>PERSTORP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1164-2024</t>
        </is>
      </c>
      <c r="B158" s="1" t="n">
        <v>45302</v>
      </c>
      <c r="C158" s="1" t="n">
        <v>45641</v>
      </c>
      <c r="D158" t="inlineStr">
        <is>
          <t>SKÅNE LÄN</t>
        </is>
      </c>
      <c r="E158" t="inlineStr">
        <is>
          <t>PERSTORP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2684-2024</t>
        </is>
      </c>
      <c r="B159" s="1" t="n">
        <v>45314</v>
      </c>
      <c r="C159" s="1" t="n">
        <v>45641</v>
      </c>
      <c r="D159" t="inlineStr">
        <is>
          <t>SKÅNE LÄN</t>
        </is>
      </c>
      <c r="E159" t="inlineStr">
        <is>
          <t>PERSTORP</t>
        </is>
      </c>
      <c r="F159" t="inlineStr">
        <is>
          <t>Övriga Aktiebolag</t>
        </is>
      </c>
      <c r="G159" t="n">
        <v>2.6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4162-2024</t>
        </is>
      </c>
      <c r="B160" s="1" t="n">
        <v>45323</v>
      </c>
      <c r="C160" s="1" t="n">
        <v>45641</v>
      </c>
      <c r="D160" t="inlineStr">
        <is>
          <t>SKÅNE LÄN</t>
        </is>
      </c>
      <c r="E160" t="inlineStr">
        <is>
          <t>PERSTORP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6722-2024</t>
        </is>
      </c>
      <c r="B161" s="1" t="n">
        <v>45342</v>
      </c>
      <c r="C161" s="1" t="n">
        <v>45641</v>
      </c>
      <c r="D161" t="inlineStr">
        <is>
          <t>SKÅNE LÄN</t>
        </is>
      </c>
      <c r="E161" t="inlineStr">
        <is>
          <t>PERSTORP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8701-2024</t>
        </is>
      </c>
      <c r="B162" s="1" t="n">
        <v>45356</v>
      </c>
      <c r="C162" s="1" t="n">
        <v>45641</v>
      </c>
      <c r="D162" t="inlineStr">
        <is>
          <t>SKÅNE LÄN</t>
        </is>
      </c>
      <c r="E162" t="inlineStr">
        <is>
          <t>PERSTORP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8704-2024</t>
        </is>
      </c>
      <c r="B163" s="1" t="n">
        <v>45356</v>
      </c>
      <c r="C163" s="1" t="n">
        <v>45641</v>
      </c>
      <c r="D163" t="inlineStr">
        <is>
          <t>SKÅNE LÄN</t>
        </is>
      </c>
      <c r="E163" t="inlineStr">
        <is>
          <t>PERSTORP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8741-2024</t>
        </is>
      </c>
      <c r="B164" s="1" t="n">
        <v>45356</v>
      </c>
      <c r="C164" s="1" t="n">
        <v>45641</v>
      </c>
      <c r="D164" t="inlineStr">
        <is>
          <t>SKÅNE LÄN</t>
        </is>
      </c>
      <c r="E164" t="inlineStr">
        <is>
          <t>PERSTORP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9164-2024</t>
        </is>
      </c>
      <c r="B165" s="1" t="n">
        <v>45358</v>
      </c>
      <c r="C165" s="1" t="n">
        <v>45641</v>
      </c>
      <c r="D165" t="inlineStr">
        <is>
          <t>SKÅNE LÄN</t>
        </is>
      </c>
      <c r="E165" t="inlineStr">
        <is>
          <t>PERSTORP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9143-2024</t>
        </is>
      </c>
      <c r="B166" s="1" t="n">
        <v>45358</v>
      </c>
      <c r="C166" s="1" t="n">
        <v>45641</v>
      </c>
      <c r="D166" t="inlineStr">
        <is>
          <t>SKÅNE LÄN</t>
        </is>
      </c>
      <c r="E166" t="inlineStr">
        <is>
          <t>PERSTORP</t>
        </is>
      </c>
      <c r="G166" t="n">
        <v>7.1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9731-2024</t>
        </is>
      </c>
      <c r="B167" s="1" t="n">
        <v>45362</v>
      </c>
      <c r="C167" s="1" t="n">
        <v>45641</v>
      </c>
      <c r="D167" t="inlineStr">
        <is>
          <t>SKÅNE LÄN</t>
        </is>
      </c>
      <c r="E167" t="inlineStr">
        <is>
          <t>PERSTORP</t>
        </is>
      </c>
      <c r="G167" t="n">
        <v>11.1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9738-2024</t>
        </is>
      </c>
      <c r="B168" s="1" t="n">
        <v>45362</v>
      </c>
      <c r="C168" s="1" t="n">
        <v>45641</v>
      </c>
      <c r="D168" t="inlineStr">
        <is>
          <t>SKÅNE LÄN</t>
        </is>
      </c>
      <c r="E168" t="inlineStr">
        <is>
          <t>PERSTORP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9981-2024</t>
        </is>
      </c>
      <c r="B169" s="1" t="n">
        <v>45363</v>
      </c>
      <c r="C169" s="1" t="n">
        <v>45641</v>
      </c>
      <c r="D169" t="inlineStr">
        <is>
          <t>SKÅNE LÄN</t>
        </is>
      </c>
      <c r="E169" t="inlineStr">
        <is>
          <t>PERSTORP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10742-2024</t>
        </is>
      </c>
      <c r="B170" s="1" t="n">
        <v>45369</v>
      </c>
      <c r="C170" s="1" t="n">
        <v>45641</v>
      </c>
      <c r="D170" t="inlineStr">
        <is>
          <t>SKÅNE LÄN</t>
        </is>
      </c>
      <c r="E170" t="inlineStr">
        <is>
          <t>PERSTORP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10936-2024</t>
        </is>
      </c>
      <c r="B171" s="1" t="n">
        <v>45370</v>
      </c>
      <c r="C171" s="1" t="n">
        <v>45641</v>
      </c>
      <c r="D171" t="inlineStr">
        <is>
          <t>SKÅNE LÄN</t>
        </is>
      </c>
      <c r="E171" t="inlineStr">
        <is>
          <t>PERSTORP</t>
        </is>
      </c>
      <c r="F171" t="inlineStr">
        <is>
          <t>Övriga Aktiebolag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10941-2024</t>
        </is>
      </c>
      <c r="B172" s="1" t="n">
        <v>45370</v>
      </c>
      <c r="C172" s="1" t="n">
        <v>45641</v>
      </c>
      <c r="D172" t="inlineStr">
        <is>
          <t>SKÅNE LÄN</t>
        </is>
      </c>
      <c r="E172" t="inlineStr">
        <is>
          <t>PERSTORP</t>
        </is>
      </c>
      <c r="F172" t="inlineStr">
        <is>
          <t>Övriga Aktiebolag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11720-2024</t>
        </is>
      </c>
      <c r="B173" s="1" t="n">
        <v>45373</v>
      </c>
      <c r="C173" s="1" t="n">
        <v>45641</v>
      </c>
      <c r="D173" t="inlineStr">
        <is>
          <t>SKÅNE LÄN</t>
        </is>
      </c>
      <c r="E173" t="inlineStr">
        <is>
          <t>PERSTORP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14473-2024</t>
        </is>
      </c>
      <c r="B174" s="1" t="n">
        <v>45394</v>
      </c>
      <c r="C174" s="1" t="n">
        <v>45641</v>
      </c>
      <c r="D174" t="inlineStr">
        <is>
          <t>SKÅNE LÄN</t>
        </is>
      </c>
      <c r="E174" t="inlineStr">
        <is>
          <t>PERSTORP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14632-2024</t>
        </is>
      </c>
      <c r="B175" s="1" t="n">
        <v>45397</v>
      </c>
      <c r="C175" s="1" t="n">
        <v>45641</v>
      </c>
      <c r="D175" t="inlineStr">
        <is>
          <t>SKÅNE LÄN</t>
        </is>
      </c>
      <c r="E175" t="inlineStr">
        <is>
          <t>PERSTORP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14631-2024</t>
        </is>
      </c>
      <c r="B176" s="1" t="n">
        <v>45397</v>
      </c>
      <c r="C176" s="1" t="n">
        <v>45641</v>
      </c>
      <c r="D176" t="inlineStr">
        <is>
          <t>SKÅNE LÄN</t>
        </is>
      </c>
      <c r="E176" t="inlineStr">
        <is>
          <t>PERSTORP</t>
        </is>
      </c>
      <c r="G176" t="n">
        <v>3.9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19817-2024</t>
        </is>
      </c>
      <c r="B177" s="1" t="n">
        <v>45433</v>
      </c>
      <c r="C177" s="1" t="n">
        <v>45641</v>
      </c>
      <c r="D177" t="inlineStr">
        <is>
          <t>SKÅNE LÄN</t>
        </is>
      </c>
      <c r="E177" t="inlineStr">
        <is>
          <t>PERSTORP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28347-2024</t>
        </is>
      </c>
      <c r="B178" s="1" t="n">
        <v>45477</v>
      </c>
      <c r="C178" s="1" t="n">
        <v>45641</v>
      </c>
      <c r="D178" t="inlineStr">
        <is>
          <t>SKÅNE LÄN</t>
        </is>
      </c>
      <c r="E178" t="inlineStr">
        <is>
          <t>PERSTORP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28370-2024</t>
        </is>
      </c>
      <c r="B179" s="1" t="n">
        <v>45477</v>
      </c>
      <c r="C179" s="1" t="n">
        <v>45641</v>
      </c>
      <c r="D179" t="inlineStr">
        <is>
          <t>SKÅNE LÄN</t>
        </is>
      </c>
      <c r="E179" t="inlineStr">
        <is>
          <t>PERSTORP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28736-2024</t>
        </is>
      </c>
      <c r="B180" s="1" t="n">
        <v>45478</v>
      </c>
      <c r="C180" s="1" t="n">
        <v>45641</v>
      </c>
      <c r="D180" t="inlineStr">
        <is>
          <t>SKÅNE LÄN</t>
        </is>
      </c>
      <c r="E180" t="inlineStr">
        <is>
          <t>PERSTORP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28751-2024</t>
        </is>
      </c>
      <c r="B181" s="1" t="n">
        <v>45478</v>
      </c>
      <c r="C181" s="1" t="n">
        <v>45641</v>
      </c>
      <c r="D181" t="inlineStr">
        <is>
          <t>SKÅNE LÄN</t>
        </is>
      </c>
      <c r="E181" t="inlineStr">
        <is>
          <t>PERSTORP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32201-2024</t>
        </is>
      </c>
      <c r="B182" s="1" t="n">
        <v>45511</v>
      </c>
      <c r="C182" s="1" t="n">
        <v>45641</v>
      </c>
      <c r="D182" t="inlineStr">
        <is>
          <t>SKÅNE LÄN</t>
        </is>
      </c>
      <c r="E182" t="inlineStr">
        <is>
          <t>PERSTORP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33164-2024</t>
        </is>
      </c>
      <c r="B183" s="1" t="n">
        <v>45518</v>
      </c>
      <c r="C183" s="1" t="n">
        <v>45641</v>
      </c>
      <c r="D183" t="inlineStr">
        <is>
          <t>SKÅNE LÄN</t>
        </is>
      </c>
      <c r="E183" t="inlineStr">
        <is>
          <t>PERSTORP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37888-2024</t>
        </is>
      </c>
      <c r="B184" s="1" t="n">
        <v>45544</v>
      </c>
      <c r="C184" s="1" t="n">
        <v>45641</v>
      </c>
      <c r="D184" t="inlineStr">
        <is>
          <t>SKÅNE LÄN</t>
        </is>
      </c>
      <c r="E184" t="inlineStr">
        <is>
          <t>PERSTORP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37891-2024</t>
        </is>
      </c>
      <c r="B185" s="1" t="n">
        <v>45544</v>
      </c>
      <c r="C185" s="1" t="n">
        <v>45641</v>
      </c>
      <c r="D185" t="inlineStr">
        <is>
          <t>SKÅNE LÄN</t>
        </is>
      </c>
      <c r="E185" t="inlineStr">
        <is>
          <t>PERSTORP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37889-2024</t>
        </is>
      </c>
      <c r="B186" s="1" t="n">
        <v>45544</v>
      </c>
      <c r="C186" s="1" t="n">
        <v>45641</v>
      </c>
      <c r="D186" t="inlineStr">
        <is>
          <t>SKÅNE LÄN</t>
        </is>
      </c>
      <c r="E186" t="inlineStr">
        <is>
          <t>PERSTORP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37890-2024</t>
        </is>
      </c>
      <c r="B187" s="1" t="n">
        <v>45544</v>
      </c>
      <c r="C187" s="1" t="n">
        <v>45641</v>
      </c>
      <c r="D187" t="inlineStr">
        <is>
          <t>SKÅNE LÄN</t>
        </is>
      </c>
      <c r="E187" t="inlineStr">
        <is>
          <t>PERSTORP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38319-2024</t>
        </is>
      </c>
      <c r="B188" s="1" t="n">
        <v>45545</v>
      </c>
      <c r="C188" s="1" t="n">
        <v>45641</v>
      </c>
      <c r="D188" t="inlineStr">
        <is>
          <t>SKÅNE LÄN</t>
        </is>
      </c>
      <c r="E188" t="inlineStr">
        <is>
          <t>PERSTORP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39315-2024</t>
        </is>
      </c>
      <c r="B189" s="1" t="n">
        <v>45551</v>
      </c>
      <c r="C189" s="1" t="n">
        <v>45641</v>
      </c>
      <c r="D189" t="inlineStr">
        <is>
          <t>SKÅNE LÄN</t>
        </is>
      </c>
      <c r="E189" t="inlineStr">
        <is>
          <t>PERSTORP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39394-2024</t>
        </is>
      </c>
      <c r="B190" s="1" t="n">
        <v>45551</v>
      </c>
      <c r="C190" s="1" t="n">
        <v>45641</v>
      </c>
      <c r="D190" t="inlineStr">
        <is>
          <t>SKÅNE LÄN</t>
        </is>
      </c>
      <c r="E190" t="inlineStr">
        <is>
          <t>PERSTORP</t>
        </is>
      </c>
      <c r="G190" t="n">
        <v>10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40001-2024</t>
        </is>
      </c>
      <c r="B191" s="1" t="n">
        <v>45553</v>
      </c>
      <c r="C191" s="1" t="n">
        <v>45641</v>
      </c>
      <c r="D191" t="inlineStr">
        <is>
          <t>SKÅNE LÄN</t>
        </is>
      </c>
      <c r="E191" t="inlineStr">
        <is>
          <t>PERSTORP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41273-2024</t>
        </is>
      </c>
      <c r="B192" s="1" t="n">
        <v>45559</v>
      </c>
      <c r="C192" s="1" t="n">
        <v>45641</v>
      </c>
      <c r="D192" t="inlineStr">
        <is>
          <t>SKÅNE LÄN</t>
        </is>
      </c>
      <c r="E192" t="inlineStr">
        <is>
          <t>PERSTORP</t>
        </is>
      </c>
      <c r="F192" t="inlineStr">
        <is>
          <t>Övriga Aktiebolag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42435-2024</t>
        </is>
      </c>
      <c r="B193" s="1" t="n">
        <v>45565</v>
      </c>
      <c r="C193" s="1" t="n">
        <v>45641</v>
      </c>
      <c r="D193" t="inlineStr">
        <is>
          <t>SKÅNE LÄN</t>
        </is>
      </c>
      <c r="E193" t="inlineStr">
        <is>
          <t>PERSTORP</t>
        </is>
      </c>
      <c r="G193" t="n">
        <v>1.9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42433-2024</t>
        </is>
      </c>
      <c r="B194" s="1" t="n">
        <v>45565</v>
      </c>
      <c r="C194" s="1" t="n">
        <v>45641</v>
      </c>
      <c r="D194" t="inlineStr">
        <is>
          <t>SKÅNE LÄN</t>
        </is>
      </c>
      <c r="E194" t="inlineStr">
        <is>
          <t>PERSTORP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42454-2024</t>
        </is>
      </c>
      <c r="B195" s="1" t="n">
        <v>45565</v>
      </c>
      <c r="C195" s="1" t="n">
        <v>45641</v>
      </c>
      <c r="D195" t="inlineStr">
        <is>
          <t>SKÅNE LÄN</t>
        </is>
      </c>
      <c r="E195" t="inlineStr">
        <is>
          <t>PERSTORP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43895-2024</t>
        </is>
      </c>
      <c r="B196" s="1" t="n">
        <v>45572</v>
      </c>
      <c r="C196" s="1" t="n">
        <v>45641</v>
      </c>
      <c r="D196" t="inlineStr">
        <is>
          <t>SKÅNE LÄN</t>
        </is>
      </c>
      <c r="E196" t="inlineStr">
        <is>
          <t>PERSTORP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46737-2024</t>
        </is>
      </c>
      <c r="B197" s="1" t="n">
        <v>45583</v>
      </c>
      <c r="C197" s="1" t="n">
        <v>45641</v>
      </c>
      <c r="D197" t="inlineStr">
        <is>
          <t>SKÅNE LÄN</t>
        </is>
      </c>
      <c r="E197" t="inlineStr">
        <is>
          <t>PERSTORP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46734-2024</t>
        </is>
      </c>
      <c r="B198" s="1" t="n">
        <v>45583</v>
      </c>
      <c r="C198" s="1" t="n">
        <v>45641</v>
      </c>
      <c r="D198" t="inlineStr">
        <is>
          <t>SKÅNE LÄN</t>
        </is>
      </c>
      <c r="E198" t="inlineStr">
        <is>
          <t>PERSTORP</t>
        </is>
      </c>
      <c r="G198" t="n">
        <v>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51250-2024</t>
        </is>
      </c>
      <c r="B199" s="1" t="n">
        <v>45602</v>
      </c>
      <c r="C199" s="1" t="n">
        <v>45641</v>
      </c>
      <c r="D199" t="inlineStr">
        <is>
          <t>SKÅNE LÄN</t>
        </is>
      </c>
      <c r="E199" t="inlineStr">
        <is>
          <t>PERSTORP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50917-2024</t>
        </is>
      </c>
      <c r="B200" s="1" t="n">
        <v>45602</v>
      </c>
      <c r="C200" s="1" t="n">
        <v>45641</v>
      </c>
      <c r="D200" t="inlineStr">
        <is>
          <t>SKÅNE LÄN</t>
        </is>
      </c>
      <c r="E200" t="inlineStr">
        <is>
          <t>PERSTORP</t>
        </is>
      </c>
      <c r="G200" t="n">
        <v>4.2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51212-2024</t>
        </is>
      </c>
      <c r="B201" s="1" t="n">
        <v>45603</v>
      </c>
      <c r="C201" s="1" t="n">
        <v>45641</v>
      </c>
      <c r="D201" t="inlineStr">
        <is>
          <t>SKÅNE LÄN</t>
        </is>
      </c>
      <c r="E201" t="inlineStr">
        <is>
          <t>PERSTORP</t>
        </is>
      </c>
      <c r="G201" t="n">
        <v>3.4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52315-2024</t>
        </is>
      </c>
      <c r="B202" s="1" t="n">
        <v>45608</v>
      </c>
      <c r="C202" s="1" t="n">
        <v>45641</v>
      </c>
      <c r="D202" t="inlineStr">
        <is>
          <t>SKÅNE LÄN</t>
        </is>
      </c>
      <c r="E202" t="inlineStr">
        <is>
          <t>PERSTORP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52740-2024</t>
        </is>
      </c>
      <c r="B203" s="1" t="n">
        <v>45610</v>
      </c>
      <c r="C203" s="1" t="n">
        <v>45641</v>
      </c>
      <c r="D203" t="inlineStr">
        <is>
          <t>SKÅNE LÄN</t>
        </is>
      </c>
      <c r="E203" t="inlineStr">
        <is>
          <t>PERSTORP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54938-2024</t>
        </is>
      </c>
      <c r="B204" s="1" t="n">
        <v>45618</v>
      </c>
      <c r="C204" s="1" t="n">
        <v>45641</v>
      </c>
      <c r="D204" t="inlineStr">
        <is>
          <t>SKÅNE LÄN</t>
        </is>
      </c>
      <c r="E204" t="inlineStr">
        <is>
          <t>PERSTORP</t>
        </is>
      </c>
      <c r="G204" t="n">
        <v>4.8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>
      <c r="A205" t="inlineStr">
        <is>
          <t>A 54939-2024</t>
        </is>
      </c>
      <c r="B205" s="1" t="n">
        <v>45618</v>
      </c>
      <c r="C205" s="1" t="n">
        <v>45641</v>
      </c>
      <c r="D205" t="inlineStr">
        <is>
          <t>SKÅNE LÄN</t>
        </is>
      </c>
      <c r="E205" t="inlineStr">
        <is>
          <t>PERSTORP</t>
        </is>
      </c>
      <c r="G205" t="n">
        <v>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2024-12-15T15:21:22Z</dcterms:created>
  <dcterms:modified xmlns:dcterms="http://purl.org/dc/terms/" xmlns:xsi="http://www.w3.org/2001/XMLSchema-instance" xsi:type="dcterms:W3CDTF">2024-12-15T15:21:22Z</dcterms:modified>
</cp:coreProperties>
</file>