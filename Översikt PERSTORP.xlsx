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1099-2024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45391</v>
      </c>
      <c r="E2" s="1" t="n">
        <v>46320</v>
      </c>
      <c r="F2" t="inlineStr">
        <is>
          <t>SKÅNE LÄN</t>
        </is>
      </c>
      <c r="G2" t="inlineStr">
        <is>
          <t>PERSTORP</t>
        </is>
      </c>
      <c r="I2" t="n">
        <v>51.5</v>
      </c>
      <c r="J2" t="n">
        <v>4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20</v>
      </c>
      <c r="U2" t="n">
        <v>0</v>
      </c>
      <c r="V2" s="2" t="inlineStr">
        <is>
          <t>Blåmossa
Brandticka
Guldlockmossa
Rostfläck
Strutbräken
Västlig hakmossa
Spillkråka
Kopparödla
Vanlig padda
Revlummer</t>
        </is>
      </c>
      <c r="W2">
        <f>HYPERLINK("https://klasma.github.io/Logging_1275/artfynd/S 1099-2024 artfynd.xlsx", "S 1099-2024")</f>
        <v/>
      </c>
      <c r="X2">
        <f>HYPERLINK("https://klasma.github.io/Logging_1275/kartor/S 1099-2024 karta.png", "S 1099-2024")</f>
        <v/>
      </c>
      <c r="Y2">
        <f>HYPERLINK("https://klasma.github.io/Logging_1275/kartor_geotiff/S 1099-2024 georefererad karta.tif", "S 1099-2024")</f>
        <v/>
      </c>
      <c r="AA2">
        <f>HYPERLINK("https://klasma.github.io/Logging_1275/klagomål/S 1099-2024 FSC-klagomål.docx", "S 1099-2024")</f>
        <v/>
      </c>
      <c r="AB2">
        <f>HYPERLINK("https://klasma.github.io/Logging_1275/klagomålsmail/S 1099-2024 FSC-klagomål mail.docx", "S 1099-2024")</f>
        <v/>
      </c>
      <c r="AC2">
        <f>HYPERLINK("https://klasma.github.io/Logging_1275/tillsyn/S 1099-2024 tillsynsbegäran.docx", "S 1099-2024")</f>
        <v/>
      </c>
      <c r="AD2">
        <f>HYPERLINK("https://klasma.github.io/Logging_1275/tillsynsmail/S 1099-2024 tillsynsbegäran mail.docx", "S 1099-2024")</f>
        <v/>
      </c>
      <c r="AE2">
        <f>HYPERLINK("https://klasma.github.io/Logging_1275/fåglar/S 1099-2024 prioriterade fågelarter.docx", "S 1099-2024")</f>
        <v/>
      </c>
    </row>
    <row r="3" ht="15" customHeight="1">
      <c r="A3" t="inlineStr">
        <is>
          <t>A 36700-2025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45873</v>
      </c>
      <c r="E3" s="1" t="n">
        <v>46320</v>
      </c>
      <c r="F3" t="inlineStr">
        <is>
          <t>SKÅNE LÄN</t>
        </is>
      </c>
      <c r="G3" t="inlineStr">
        <is>
          <t>PERSTORP</t>
        </is>
      </c>
      <c r="I3" t="n">
        <v>3.9</v>
      </c>
      <c r="J3" t="n">
        <v>4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5</v>
      </c>
      <c r="T3" t="n">
        <v>8</v>
      </c>
      <c r="U3" t="n">
        <v>0</v>
      </c>
      <c r="V3" s="2" t="inlineStr">
        <is>
          <t>Entita
Västlig hakmossa
Kungsfågel
Skogsödla
Vanlig padda</t>
        </is>
      </c>
      <c r="W3">
        <f>HYPERLINK("https://klasma.github.io/Logging_1275/artfynd/A 36700-2025 artfynd.xlsx", "A 36700-2025")</f>
        <v/>
      </c>
      <c r="X3">
        <f>HYPERLINK("https://klasma.github.io/Logging_1275/kartor/A 36700-2025 karta.png", "A 36700-2025")</f>
        <v/>
      </c>
      <c r="Y3">
        <f>HYPERLINK("https://klasma.github.io/Logging_1275/kartor_geotiff/A 36700-2025 georefererad karta.tif", "A 36700-2025")</f>
        <v/>
      </c>
      <c r="AA3">
        <f>HYPERLINK("https://klasma.github.io/Logging_1275/klagomål/A 36700-2025 FSC-klagomål.docx", "A 36700-2025")</f>
        <v/>
      </c>
      <c r="AB3">
        <f>HYPERLINK("https://klasma.github.io/Logging_1275/klagomålsmail/A 36700-2025 FSC-klagomål mail.docx", "A 36700-2025")</f>
        <v/>
      </c>
      <c r="AC3">
        <f>HYPERLINK("https://klasma.github.io/Logging_1275/tillsyn/A 36700-2025 tillsynsbegäran.docx", "A 36700-2025")</f>
        <v/>
      </c>
      <c r="AD3">
        <f>HYPERLINK("https://klasma.github.io/Logging_1275/tillsynsmail/A 36700-2025 tillsynsbegäran mail.docx", "A 36700-2025")</f>
        <v/>
      </c>
      <c r="AE3">
        <f>HYPERLINK("https://klasma.github.io/Logging_1275/fåglar/A 36700-2025 prioriterade fågelarter.docx", "A 36700-2025")</f>
        <v/>
      </c>
    </row>
    <row r="4" ht="15" customHeight="1">
      <c r="A4" t="inlineStr">
        <is>
          <t>A 46195-2022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44845</v>
      </c>
      <c r="E4" s="1" t="n">
        <v>46320</v>
      </c>
      <c r="F4" t="inlineStr">
        <is>
          <t>SKÅNE LÄN</t>
        </is>
      </c>
      <c r="G4" t="inlineStr">
        <is>
          <t>PERSTORP</t>
        </is>
      </c>
      <c r="I4" t="n">
        <v>0.7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Brandticka</t>
        </is>
      </c>
      <c r="W4">
        <f>HYPERLINK("https://klasma.github.io/Logging_1275/artfynd/A 46195-2022 artfynd.xlsx", "A 46195-2022")</f>
        <v/>
      </c>
      <c r="X4">
        <f>HYPERLINK("https://klasma.github.io/Logging_1275/kartor/A 46195-2022 karta.png", "A 46195-2022")</f>
        <v/>
      </c>
      <c r="Y4">
        <f>HYPERLINK("https://klasma.github.io/Logging_1275/kartor_geotiff/A 46195-2022 georefererad karta.tif", "A 46195-2022")</f>
        <v/>
      </c>
      <c r="AA4">
        <f>HYPERLINK("https://klasma.github.io/Logging_1275/klagomål/A 46195-2022 FSC-klagomål.docx", "A 46195-2022")</f>
        <v/>
      </c>
      <c r="AB4">
        <f>HYPERLINK("https://klasma.github.io/Logging_1275/klagomålsmail/A 46195-2022 FSC-klagomål mail.docx", "A 46195-2022")</f>
        <v/>
      </c>
      <c r="AC4">
        <f>HYPERLINK("https://klasma.github.io/Logging_1275/tillsyn/A 46195-2022 tillsynsbegäran.docx", "A 46195-2022")</f>
        <v/>
      </c>
      <c r="AD4">
        <f>HYPERLINK("https://klasma.github.io/Logging_1275/tillsynsmail/A 46195-2022 tillsynsbegäran mail.docx", "A 46195-2022")</f>
        <v/>
      </c>
    </row>
    <row r="5" ht="15" customHeight="1">
      <c r="A5" t="inlineStr">
        <is>
          <t>A 4989-2022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44593</v>
      </c>
      <c r="E5" s="1" t="n">
        <v>46320</v>
      </c>
      <c r="F5" t="inlineStr">
        <is>
          <t>SKÅNE LÄN</t>
        </is>
      </c>
      <c r="G5" t="inlineStr">
        <is>
          <t>PERSTORP</t>
        </is>
      </c>
      <c r="I5" t="n">
        <v>6.7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s="2" t="inlineStr">
        <is>
          <t>Spillkråka</t>
        </is>
      </c>
      <c r="W5">
        <f>HYPERLINK("https://klasma.github.io/Logging_1275/artfynd/A 4989-2022 artfynd.xlsx", "A 4989-2022")</f>
        <v/>
      </c>
      <c r="X5">
        <f>HYPERLINK("https://klasma.github.io/Logging_1275/kartor/A 4989-2022 karta.png", "A 4989-2022")</f>
        <v/>
      </c>
      <c r="Y5">
        <f>HYPERLINK("https://klasma.github.io/Logging_1275/kartor_geotiff/A 4989-2022 georefererad karta.tif", "A 4989-2022")</f>
        <v/>
      </c>
      <c r="AA5">
        <f>HYPERLINK("https://klasma.github.io/Logging_1275/klagomål/A 4989-2022 FSC-klagomål.docx", "A 4989-2022")</f>
        <v/>
      </c>
      <c r="AB5">
        <f>HYPERLINK("https://klasma.github.io/Logging_1275/klagomålsmail/A 4989-2022 FSC-klagomål mail.docx", "A 4989-2022")</f>
        <v/>
      </c>
      <c r="AC5">
        <f>HYPERLINK("https://klasma.github.io/Logging_1275/tillsyn/A 4989-2022 tillsynsbegäran.docx", "A 4989-2022")</f>
        <v/>
      </c>
      <c r="AD5">
        <f>HYPERLINK("https://klasma.github.io/Logging_1275/tillsynsmail/A 4989-2022 tillsynsbegäran mail.docx", "A 4989-2022")</f>
        <v/>
      </c>
      <c r="AE5">
        <f>HYPERLINK("https://klasma.github.io/Logging_1275/fåglar/A 4989-2022 prioriterade fågelarter.docx", "A 4989-2022")</f>
        <v/>
      </c>
    </row>
    <row r="6" ht="15" customHeight="1">
      <c r="A6" t="inlineStr">
        <is>
          <t>A 33251-2026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46246</v>
      </c>
      <c r="E6" s="1" t="n">
        <v>46320</v>
      </c>
      <c r="F6" t="inlineStr">
        <is>
          <t>SKÅNE LÄN</t>
        </is>
      </c>
      <c r="G6" t="inlineStr">
        <is>
          <t>PERSTORP</t>
        </is>
      </c>
      <c r="H6" t="inlineStr">
        <is>
          <t>Övriga Aktiebolag</t>
        </is>
      </c>
      <c r="I6" t="n">
        <v>6.3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s="2" t="inlineStr">
        <is>
          <t>Blåbär</t>
        </is>
      </c>
      <c r="W6">
        <f>HYPERLINK("https://klasma.github.io/Logging_1275/artfynd/A 33251-2026 artfynd.xlsx", "A 33251-2026")</f>
        <v/>
      </c>
      <c r="X6">
        <f>HYPERLINK("https://klasma.github.io/Logging_1275/kartor/A 33251-2026 karta.png", "A 33251-2026")</f>
        <v/>
      </c>
      <c r="Y6">
        <f>HYPERLINK("https://klasma.github.io/Logging_1275/kartor_geotiff/A 33251-2026 georefererad karta.tif", "A 33251-2026")</f>
        <v/>
      </c>
      <c r="AA6">
        <f>HYPERLINK("https://klasma.github.io/Logging_1275/klagomål/A 33251-2026 FSC-klagomål.docx", "A 33251-2026")</f>
        <v/>
      </c>
      <c r="AB6">
        <f>HYPERLINK("https://klasma.github.io/Logging_1275/klagomålsmail/A 33251-2026 FSC-klagomål mail.docx", "A 33251-2026")</f>
        <v/>
      </c>
      <c r="AC6">
        <f>HYPERLINK("https://klasma.github.io/Logging_1275/tillsyn/A 33251-2026 tillsynsbegäran.docx", "A 33251-2026")</f>
        <v/>
      </c>
      <c r="AD6">
        <f>HYPERLINK("https://klasma.github.io/Logging_1275/tillsynsmail/A 33251-2026 tillsynsbegäran mail.docx", "A 33251-2026")</f>
        <v/>
      </c>
    </row>
    <row r="7" ht="15" customHeight="1">
      <c r="A7" t="inlineStr">
        <is>
          <t>A 145-2026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46020</v>
      </c>
      <c r="E7" s="1" t="n">
        <v>46320</v>
      </c>
      <c r="F7" t="inlineStr">
        <is>
          <t>SKÅNE LÄN</t>
        </is>
      </c>
      <c r="G7" t="inlineStr">
        <is>
          <t>PERSTORP</t>
        </is>
      </c>
      <c r="I7" t="n">
        <v>1.4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</v>
      </c>
      <c r="U7" t="n">
        <v>1</v>
      </c>
      <c r="V7" s="2" t="inlineStr">
        <is>
          <t>Mattlummer</t>
        </is>
      </c>
      <c r="W7">
        <f>HYPERLINK("https://klasma.github.io/Logging_1275/artfynd/A 145-2026 artfynd.xlsx", "A 145-2026")</f>
        <v/>
      </c>
      <c r="X7">
        <f>HYPERLINK("https://klasma.github.io/Logging_1275/kartor/A 145-2026 karta.png", "A 145-2026")</f>
        <v/>
      </c>
      <c r="Y7">
        <f>HYPERLINK("https://klasma.github.io/Logging_1275/kartor_geotiff/A 145-2026 georefererad karta.tif", "A 145-2026")</f>
        <v/>
      </c>
      <c r="AA7">
        <f>HYPERLINK("https://klasma.github.io/Logging_1275/klagomål/A 145-2026 FSC-klagomål.docx", "A 145-2026")</f>
        <v/>
      </c>
      <c r="AB7">
        <f>HYPERLINK("https://klasma.github.io/Logging_1275/klagomålsmail/A 145-2026 FSC-klagomål mail.docx", "A 145-2026")</f>
        <v/>
      </c>
      <c r="AC7">
        <f>HYPERLINK("https://klasma.github.io/Logging_1275/tillsyn/A 145-2026 tillsynsbegäran.docx", "A 145-2026")</f>
        <v/>
      </c>
      <c r="AD7">
        <f>HYPERLINK("https://klasma.github.io/Logging_1275/tillsynsmail/A 145-2026 tillsynsbegäran mail.docx", "A 145-2026")</f>
        <v/>
      </c>
    </row>
    <row r="8" ht="15" customHeight="1">
      <c r="A8" t="inlineStr">
        <is>
          <t>S 1268-2023</t>
        </is>
      </c>
      <c r="B8" t="inlineStr">
        <is>
          <t>samrådsanmälan</t>
        </is>
      </c>
      <c r="C8" t="inlineStr">
        <is>
          <t>Askåterföring</t>
        </is>
      </c>
      <c r="D8" s="1" t="n">
        <v>45029</v>
      </c>
      <c r="E8" s="1" t="n">
        <v>46320</v>
      </c>
      <c r="F8" t="inlineStr">
        <is>
          <t>SKÅNE LÄN</t>
        </is>
      </c>
      <c r="G8" t="inlineStr">
        <is>
          <t>PERSTORP</t>
        </is>
      </c>
      <c r="I8" t="n">
        <v>21.7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s="2" t="inlineStr">
        <is>
          <t>Enkelbeckasin</t>
        </is>
      </c>
      <c r="W8">
        <f>HYPERLINK("https://klasma.github.io/Logging_1275/artfynd/S 1268-2023 artfynd.xlsx", "S 1268-2023")</f>
        <v/>
      </c>
      <c r="X8">
        <f>HYPERLINK("https://klasma.github.io/Logging_1275/kartor/S 1268-2023 karta.png", "S 1268-2023")</f>
        <v/>
      </c>
      <c r="Y8">
        <f>HYPERLINK("https://klasma.github.io/Logging_1275/kartor_geotiff/S 1268-2023 georefererad karta.tif", "S 1268-2023")</f>
        <v/>
      </c>
      <c r="AA8">
        <f>HYPERLINK("https://klasma.github.io/Logging_1275/klagomål/S 1268-2023 FSC-klagomål.docx", "S 1268-2023")</f>
        <v/>
      </c>
      <c r="AB8">
        <f>HYPERLINK("https://klasma.github.io/Logging_1275/klagomålsmail/S 1268-2023 FSC-klagomål mail.docx", "S 1268-2023")</f>
        <v/>
      </c>
      <c r="AC8">
        <f>HYPERLINK("https://klasma.github.io/Logging_1275/tillsyn/S 1268-2023 tillsynsbegäran.docx", "S 1268-2023")</f>
        <v/>
      </c>
      <c r="AD8">
        <f>HYPERLINK("https://klasma.github.io/Logging_1275/tillsynsmail/S 1268-2023 tillsynsbegäran mail.docx", "S 1268-2023")</f>
        <v/>
      </c>
      <c r="AE8">
        <f>HYPERLINK("https://klasma.github.io/Logging_1275/fåglar/S 1268-2023 prioriterade fågelarter.docx", "S 1268-2023")</f>
        <v/>
      </c>
    </row>
    <row r="9" ht="15" customHeight="1">
      <c r="A9" t="inlineStr">
        <is>
          <t>S 2466-2025</t>
        </is>
      </c>
      <c r="B9" t="inlineStr">
        <is>
          <t>samrådsanmälan</t>
        </is>
      </c>
      <c r="C9" t="inlineStr">
        <is>
          <t>Askåterföring</t>
        </is>
      </c>
      <c r="D9" s="1" t="n">
        <v>45901</v>
      </c>
      <c r="E9" s="1" t="n">
        <v>46320</v>
      </c>
      <c r="F9" t="inlineStr">
        <is>
          <t>SKÅNE LÄN</t>
        </is>
      </c>
      <c r="G9" t="inlineStr">
        <is>
          <t>PERSTORP</t>
        </is>
      </c>
      <c r="I9" t="n">
        <v>23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Buskskvätta</t>
        </is>
      </c>
      <c r="W9">
        <f>HYPERLINK("https://klasma.github.io/Logging_1275/artfynd/S 2466-2025 artfynd.xlsx", "S 2466-2025")</f>
        <v/>
      </c>
      <c r="X9">
        <f>HYPERLINK("https://klasma.github.io/Logging_1275/kartor/S 2466-2025 karta.png", "S 2466-2025")</f>
        <v/>
      </c>
      <c r="Y9">
        <f>HYPERLINK("https://klasma.github.io/Logging_1275/kartor_geotiff/S 2466-2025 georefererad karta.tif", "S 2466-2025")</f>
        <v/>
      </c>
      <c r="AA9">
        <f>HYPERLINK("https://klasma.github.io/Logging_1275/klagomål/S 2466-2025 FSC-klagomål.docx", "S 2466-2025")</f>
        <v/>
      </c>
      <c r="AB9">
        <f>HYPERLINK("https://klasma.github.io/Logging_1275/klagomålsmail/S 2466-2025 FSC-klagomål mail.docx", "S 2466-2025")</f>
        <v/>
      </c>
      <c r="AC9">
        <f>HYPERLINK("https://klasma.github.io/Logging_1275/tillsyn/S 2466-2025 tillsynsbegäran.docx", "S 2466-2025")</f>
        <v/>
      </c>
      <c r="AD9">
        <f>HYPERLINK("https://klasma.github.io/Logging_1275/tillsynsmail/S 2466-2025 tillsynsbegäran mail.docx", "S 2466-2025")</f>
        <v/>
      </c>
    </row>
    <row r="10" ht="15" customHeight="1">
      <c r="A10" t="inlineStr">
        <is>
          <t>S 1516-2026</t>
        </is>
      </c>
      <c r="B10" t="inlineStr">
        <is>
          <t>samrådsanmälan</t>
        </is>
      </c>
      <c r="C10" t="inlineStr">
        <is>
          <t>Askåterföring</t>
        </is>
      </c>
      <c r="D10" s="1" t="n">
        <v>46164</v>
      </c>
      <c r="E10" s="1" t="n">
        <v>46320</v>
      </c>
      <c r="F10" t="inlineStr">
        <is>
          <t>SKÅNE LÄN</t>
        </is>
      </c>
      <c r="G10" t="inlineStr">
        <is>
          <t>PERSTORP</t>
        </is>
      </c>
      <c r="I10" t="n">
        <v>43.2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Tibast</t>
        </is>
      </c>
      <c r="W10">
        <f>HYPERLINK("https://klasma.github.io/Logging_1275/artfynd/S 1516-2026 artfynd.xlsx", "S 1516-2026")</f>
        <v/>
      </c>
      <c r="X10">
        <f>HYPERLINK("https://klasma.github.io/Logging_1275/kartor/S 1516-2026 karta.png", "S 1516-2026")</f>
        <v/>
      </c>
      <c r="Y10">
        <f>HYPERLINK("https://klasma.github.io/Logging_1275/kartor_geotiff/S 1516-2026 georefererad karta.tif", "S 1516-2026")</f>
        <v/>
      </c>
      <c r="AA10">
        <f>HYPERLINK("https://klasma.github.io/Logging_1275/klagomål/S 1516-2026 FSC-klagomål.docx", "S 1516-2026")</f>
        <v/>
      </c>
      <c r="AB10">
        <f>HYPERLINK("https://klasma.github.io/Logging_1275/klagomålsmail/S 1516-2026 FSC-klagomål mail.docx", "S 1516-2026")</f>
        <v/>
      </c>
      <c r="AC10">
        <f>HYPERLINK("https://klasma.github.io/Logging_1275/tillsyn/S 1516-2026 tillsynsbegäran.docx", "S 1516-2026")</f>
        <v/>
      </c>
      <c r="AD10">
        <f>HYPERLINK("https://klasma.github.io/Logging_1275/tillsynsmail/S 1516-2026 tillsynsbegäran mail.docx", "S 1516-2026")</f>
        <v/>
      </c>
    </row>
    <row r="11" ht="15" customHeight="1">
      <c r="A11" t="inlineStr">
        <is>
          <t>A 64627-2021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44511</v>
      </c>
      <c r="E11" s="1" t="n">
        <v>46320</v>
      </c>
      <c r="F11" t="inlineStr">
        <is>
          <t>SKÅNE LÄN</t>
        </is>
      </c>
      <c r="G11" t="inlineStr">
        <is>
          <t>PERSTORP</t>
        </is>
      </c>
      <c r="I11" t="n">
        <v>1.3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60021-2021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44494</v>
      </c>
      <c r="E12" s="1" t="n">
        <v>46320</v>
      </c>
      <c r="F12" t="inlineStr">
        <is>
          <t>SKÅNE LÄN</t>
        </is>
      </c>
      <c r="G12" t="inlineStr">
        <is>
          <t>PERSTORP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26501-2022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44739</v>
      </c>
      <c r="E13" s="1" t="n">
        <v>46320</v>
      </c>
      <c r="F13" t="inlineStr">
        <is>
          <t>SKÅNE LÄN</t>
        </is>
      </c>
      <c r="G13" t="inlineStr">
        <is>
          <t>PERSTORP</t>
        </is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1164-2024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45302</v>
      </c>
      <c r="E14" s="1" t="n">
        <v>46320</v>
      </c>
      <c r="F14" t="inlineStr">
        <is>
          <t>SKÅNE LÄN</t>
        </is>
      </c>
      <c r="G14" t="inlineStr">
        <is>
          <t>PERSTORP</t>
        </is>
      </c>
      <c r="I14" t="n">
        <v>2.9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11669-2023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44992</v>
      </c>
      <c r="E15" s="1" t="n">
        <v>46320</v>
      </c>
      <c r="F15" t="inlineStr">
        <is>
          <t>SKÅNE LÄN</t>
        </is>
      </c>
      <c r="G15" t="inlineStr">
        <is>
          <t>PERSTORP</t>
        </is>
      </c>
      <c r="H15" t="inlineStr">
        <is>
          <t>Övriga Aktiebolag</t>
        </is>
      </c>
      <c r="I15" t="n">
        <v>1.8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51250-2024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45602</v>
      </c>
      <c r="E16" s="1" t="n">
        <v>46320</v>
      </c>
      <c r="F16" t="inlineStr">
        <is>
          <t>SKÅNE LÄN</t>
        </is>
      </c>
      <c r="G16" t="inlineStr">
        <is>
          <t>PERSTORP</t>
        </is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23874-2026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46167</v>
      </c>
      <c r="E17" s="1" t="n">
        <v>46320</v>
      </c>
      <c r="F17" t="inlineStr">
        <is>
          <t>SKÅNE LÄN</t>
        </is>
      </c>
      <c r="G17" t="inlineStr">
        <is>
          <t>PERSTORP</t>
        </is>
      </c>
      <c r="I17" t="n">
        <v>0.8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60506-2023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45259</v>
      </c>
      <c r="E18" s="1" t="n">
        <v>46320</v>
      </c>
      <c r="F18" t="inlineStr">
        <is>
          <t>SKÅNE LÄN</t>
        </is>
      </c>
      <c r="G18" t="inlineStr">
        <is>
          <t>PERSTORP</t>
        </is>
      </c>
      <c r="H18" t="inlineStr">
        <is>
          <t>Övriga Aktiebolag</t>
        </is>
      </c>
      <c r="I18" t="n">
        <v>1.2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46200-2022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44845</v>
      </c>
      <c r="E19" s="1" t="n">
        <v>46320</v>
      </c>
      <c r="F19" t="inlineStr">
        <is>
          <t>SKÅNE LÄN</t>
        </is>
      </c>
      <c r="G19" t="inlineStr">
        <is>
          <t>PERSTORP</t>
        </is>
      </c>
      <c r="I19" t="n">
        <v>0.7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14632-2024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45397</v>
      </c>
      <c r="E20" s="1" t="n">
        <v>46320</v>
      </c>
      <c r="F20" t="inlineStr">
        <is>
          <t>SKÅNE LÄN</t>
        </is>
      </c>
      <c r="G20" t="inlineStr">
        <is>
          <t>PERSTORP</t>
        </is>
      </c>
      <c r="I20" t="n">
        <v>0.9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1166-2024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45302</v>
      </c>
      <c r="E21" s="1" t="n">
        <v>46320</v>
      </c>
      <c r="F21" t="inlineStr">
        <is>
          <t>SKÅNE LÄN</t>
        </is>
      </c>
      <c r="G21" t="inlineStr">
        <is>
          <t>PERSTORP</t>
        </is>
      </c>
      <c r="I21" t="n">
        <v>1.8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25487-2026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46177</v>
      </c>
      <c r="E22" s="1" t="n">
        <v>46320</v>
      </c>
      <c r="F22" t="inlineStr">
        <is>
          <t>SKÅNE LÄN</t>
        </is>
      </c>
      <c r="G22" t="inlineStr">
        <is>
          <t>PERSTORP</t>
        </is>
      </c>
      <c r="H22" t="inlineStr">
        <is>
          <t>Övriga Aktiebolag</t>
        </is>
      </c>
      <c r="I22" t="n">
        <v>2.8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52315-2024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45608</v>
      </c>
      <c r="E23" s="1" t="n">
        <v>46320</v>
      </c>
      <c r="F23" t="inlineStr">
        <is>
          <t>SKÅNE LÄN</t>
        </is>
      </c>
      <c r="G23" t="inlineStr">
        <is>
          <t>PERSTORP</t>
        </is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7492-2025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45702</v>
      </c>
      <c r="E24" s="1" t="n">
        <v>46320</v>
      </c>
      <c r="F24" t="inlineStr">
        <is>
          <t>SKÅNE LÄN</t>
        </is>
      </c>
      <c r="G24" t="inlineStr">
        <is>
          <t>PERSTORP</t>
        </is>
      </c>
      <c r="H24" t="inlineStr">
        <is>
          <t>Övriga Aktiebolag</t>
        </is>
      </c>
      <c r="I24" t="n">
        <v>2.3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67669-2021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44524</v>
      </c>
      <c r="E25" s="1" t="n">
        <v>46320</v>
      </c>
      <c r="F25" t="inlineStr">
        <is>
          <t>SKÅNE LÄN</t>
        </is>
      </c>
      <c r="G25" t="inlineStr">
        <is>
          <t>PERSTORP</t>
        </is>
      </c>
      <c r="I25" t="n">
        <v>1.4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53875-2023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45231</v>
      </c>
      <c r="E26" s="1" t="n">
        <v>46320</v>
      </c>
      <c r="F26" t="inlineStr">
        <is>
          <t>SKÅNE LÄN</t>
        </is>
      </c>
      <c r="G26" t="inlineStr">
        <is>
          <t>PERSTORP</t>
        </is>
      </c>
      <c r="I26" t="n">
        <v>3.7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27465-2026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46189</v>
      </c>
      <c r="E27" s="1" t="n">
        <v>46320</v>
      </c>
      <c r="F27" t="inlineStr">
        <is>
          <t>SKÅNE LÄN</t>
        </is>
      </c>
      <c r="G27" t="inlineStr">
        <is>
          <t>PERSTORP</t>
        </is>
      </c>
      <c r="I27" t="n">
        <v>4.7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23786-2023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45078</v>
      </c>
      <c r="E28" s="1" t="n">
        <v>46320</v>
      </c>
      <c r="F28" t="inlineStr">
        <is>
          <t>SKÅNE LÄN</t>
        </is>
      </c>
      <c r="G28" t="inlineStr">
        <is>
          <t>PERSTORP</t>
        </is>
      </c>
      <c r="I28" t="n">
        <v>4.3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8741-2024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45356</v>
      </c>
      <c r="E29" s="1" t="n">
        <v>46320</v>
      </c>
      <c r="F29" t="inlineStr">
        <is>
          <t>SKÅNE LÄN</t>
        </is>
      </c>
      <c r="G29" t="inlineStr">
        <is>
          <t>PERSTORP</t>
        </is>
      </c>
      <c r="I29" t="n">
        <v>0.6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10742-2024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45369</v>
      </c>
      <c r="E30" s="1" t="n">
        <v>46320</v>
      </c>
      <c r="F30" t="inlineStr">
        <is>
          <t>SKÅNE LÄN</t>
        </is>
      </c>
      <c r="G30" t="inlineStr">
        <is>
          <t>PERSTORP</t>
        </is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29874-2023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45107</v>
      </c>
      <c r="E31" s="1" t="n">
        <v>46320</v>
      </c>
      <c r="F31" t="inlineStr">
        <is>
          <t>SKÅNE LÄN</t>
        </is>
      </c>
      <c r="G31" t="inlineStr">
        <is>
          <t>PERSTORP</t>
        </is>
      </c>
      <c r="I31" t="n">
        <v>3.1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11720-2024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45373</v>
      </c>
      <c r="E32" s="1" t="n">
        <v>46320</v>
      </c>
      <c r="F32" t="inlineStr">
        <is>
          <t>SKÅNE LÄN</t>
        </is>
      </c>
      <c r="G32" t="inlineStr">
        <is>
          <t>PERSTORP</t>
        </is>
      </c>
      <c r="I32" t="n">
        <v>4.4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7509-2025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45702</v>
      </c>
      <c r="E33" s="1" t="n">
        <v>46320</v>
      </c>
      <c r="F33" t="inlineStr">
        <is>
          <t>SKÅNE LÄN</t>
        </is>
      </c>
      <c r="G33" t="inlineStr">
        <is>
          <t>PERSTORP</t>
        </is>
      </c>
      <c r="H33" t="inlineStr">
        <is>
          <t>Övriga Aktiebolag</t>
        </is>
      </c>
      <c r="I33" t="n">
        <v>0.7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8565-2023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44977</v>
      </c>
      <c r="E34" s="1" t="n">
        <v>46320</v>
      </c>
      <c r="F34" t="inlineStr">
        <is>
          <t>SKÅNE LÄN</t>
        </is>
      </c>
      <c r="G34" t="inlineStr">
        <is>
          <t>PERSTORP</t>
        </is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37890-2024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45544</v>
      </c>
      <c r="E35" s="1" t="n">
        <v>46320</v>
      </c>
      <c r="F35" t="inlineStr">
        <is>
          <t>SKÅNE LÄN</t>
        </is>
      </c>
      <c r="G35" t="inlineStr">
        <is>
          <t>PERSTORP</t>
        </is>
      </c>
      <c r="I35" t="n">
        <v>0.6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57771-2025</t>
        </is>
      </c>
      <c r="B36" t="inlineStr">
        <is>
          <t>avverkningsanmälan</t>
        </is>
      </c>
      <c r="C36" t="inlineStr">
        <is>
          <t>Avverkning för annat ändamål</t>
        </is>
      </c>
      <c r="D36" s="1" t="n">
        <v>45981</v>
      </c>
      <c r="E36" s="1" t="n">
        <v>46320</v>
      </c>
      <c r="F36" t="inlineStr">
        <is>
          <t>SKÅNE LÄN</t>
        </is>
      </c>
      <c r="G36" t="inlineStr">
        <is>
          <t>PERSTORP</t>
        </is>
      </c>
      <c r="I36" t="n">
        <v>2.2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16395-2023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45029</v>
      </c>
      <c r="E37" s="1" t="n">
        <v>46320</v>
      </c>
      <c r="F37" t="inlineStr">
        <is>
          <t>SKÅNE LÄN</t>
        </is>
      </c>
      <c r="G37" t="inlineStr">
        <is>
          <t>PERSTORP</t>
        </is>
      </c>
      <c r="I37" t="n">
        <v>1.7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6948-2025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45701</v>
      </c>
      <c r="E38" s="1" t="n">
        <v>46320</v>
      </c>
      <c r="F38" t="inlineStr">
        <is>
          <t>SKÅNE LÄN</t>
        </is>
      </c>
      <c r="G38" t="inlineStr">
        <is>
          <t>PERSTORP</t>
        </is>
      </c>
      <c r="I38" t="n">
        <v>2.1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61859-2023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45265</v>
      </c>
      <c r="E39" s="1" t="n">
        <v>46320</v>
      </c>
      <c r="F39" t="inlineStr">
        <is>
          <t>SKÅNE LÄN</t>
        </is>
      </c>
      <c r="G39" t="inlineStr">
        <is>
          <t>PERSTORP</t>
        </is>
      </c>
      <c r="H39" t="inlineStr">
        <is>
          <t>Övriga Aktiebolag</t>
        </is>
      </c>
      <c r="I39" t="n">
        <v>6.8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32201-2024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45511</v>
      </c>
      <c r="E40" s="1" t="n">
        <v>46320</v>
      </c>
      <c r="F40" t="inlineStr">
        <is>
          <t>SKÅNE LÄN</t>
        </is>
      </c>
      <c r="G40" t="inlineStr">
        <is>
          <t>PERSTORP</t>
        </is>
      </c>
      <c r="I40" t="n">
        <v>2.9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54095-2022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44879</v>
      </c>
      <c r="E41" s="1" t="n">
        <v>46320</v>
      </c>
      <c r="F41" t="inlineStr">
        <is>
          <t>SKÅNE LÄN</t>
        </is>
      </c>
      <c r="G41" t="inlineStr">
        <is>
          <t>PERSTORP</t>
        </is>
      </c>
      <c r="H41" t="inlineStr">
        <is>
          <t>Övriga Aktiebolag</t>
        </is>
      </c>
      <c r="I41" t="n">
        <v>1.6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982-2025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45666</v>
      </c>
      <c r="E42" s="1" t="n">
        <v>46320</v>
      </c>
      <c r="F42" t="inlineStr">
        <is>
          <t>SKÅNE LÄN</t>
        </is>
      </c>
      <c r="G42" t="inlineStr">
        <is>
          <t>PERSTORP</t>
        </is>
      </c>
      <c r="I42" t="n">
        <v>1.6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28736-2024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45478</v>
      </c>
      <c r="E43" s="1" t="n">
        <v>46320</v>
      </c>
      <c r="F43" t="inlineStr">
        <is>
          <t>SKÅNE LÄN</t>
        </is>
      </c>
      <c r="G43" t="inlineStr">
        <is>
          <t>PERSTORP</t>
        </is>
      </c>
      <c r="I43" t="n">
        <v>3.5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28370-2024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45477</v>
      </c>
      <c r="E44" s="1" t="n">
        <v>46320</v>
      </c>
      <c r="F44" t="inlineStr">
        <is>
          <t>SKÅNE LÄN</t>
        </is>
      </c>
      <c r="G44" t="inlineStr">
        <is>
          <t>PERSTORP</t>
        </is>
      </c>
      <c r="I44" t="n">
        <v>1.2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1538-2026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46034</v>
      </c>
      <c r="E45" s="1" t="n">
        <v>46320</v>
      </c>
      <c r="F45" t="inlineStr">
        <is>
          <t>SKÅNE LÄN</t>
        </is>
      </c>
      <c r="G45" t="inlineStr">
        <is>
          <t>PERSTORP</t>
        </is>
      </c>
      <c r="I45" t="n">
        <v>1.6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3661-2026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46043</v>
      </c>
      <c r="E46" s="1" t="n">
        <v>46320</v>
      </c>
      <c r="F46" t="inlineStr">
        <is>
          <t>SKÅNE LÄN</t>
        </is>
      </c>
      <c r="G46" t="inlineStr">
        <is>
          <t>PERSTORP</t>
        </is>
      </c>
      <c r="I46" t="n">
        <v>2.3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17321-2025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45756</v>
      </c>
      <c r="E47" s="1" t="n">
        <v>46320</v>
      </c>
      <c r="F47" t="inlineStr">
        <is>
          <t>SKÅNE LÄN</t>
        </is>
      </c>
      <c r="G47" t="inlineStr">
        <is>
          <t>PERSTORP</t>
        </is>
      </c>
      <c r="I47" t="n">
        <v>2.5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33406-2026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46247</v>
      </c>
      <c r="E48" s="1" t="n">
        <v>46320</v>
      </c>
      <c r="F48" t="inlineStr">
        <is>
          <t>SKÅNE LÄN</t>
        </is>
      </c>
      <c r="G48" t="inlineStr">
        <is>
          <t>PERSTORP</t>
        </is>
      </c>
      <c r="I48" t="n">
        <v>9.300000000000001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25867-2026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46178</v>
      </c>
      <c r="E49" s="1" t="n">
        <v>46320</v>
      </c>
      <c r="F49" t="inlineStr">
        <is>
          <t>SKÅNE LÄN</t>
        </is>
      </c>
      <c r="G49" t="inlineStr">
        <is>
          <t>PERSTORP</t>
        </is>
      </c>
      <c r="H49" t="inlineStr">
        <is>
          <t>Övriga Aktiebolag</t>
        </is>
      </c>
      <c r="I49" t="n">
        <v>1.5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13818-2026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46098</v>
      </c>
      <c r="E50" s="1" t="n">
        <v>46320</v>
      </c>
      <c r="F50" t="inlineStr">
        <is>
          <t>SKÅNE LÄN</t>
        </is>
      </c>
      <c r="G50" t="inlineStr">
        <is>
          <t>PERSTORP</t>
        </is>
      </c>
      <c r="I50" t="n">
        <v>3.2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30063-2025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45826</v>
      </c>
      <c r="E51" s="1" t="n">
        <v>46320</v>
      </c>
      <c r="F51" t="inlineStr">
        <is>
          <t>SKÅNE LÄN</t>
        </is>
      </c>
      <c r="G51" t="inlineStr">
        <is>
          <t>PERSTORP</t>
        </is>
      </c>
      <c r="I51" t="n">
        <v>4.5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54647-2023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45235</v>
      </c>
      <c r="E52" s="1" t="n">
        <v>46320</v>
      </c>
      <c r="F52" t="inlineStr">
        <is>
          <t>SKÅNE LÄN</t>
        </is>
      </c>
      <c r="G52" t="inlineStr">
        <is>
          <t>PERSTORP</t>
        </is>
      </c>
      <c r="I52" t="n">
        <v>2.6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51207-2022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44868</v>
      </c>
      <c r="E53" s="1" t="n">
        <v>46320</v>
      </c>
      <c r="F53" t="inlineStr">
        <is>
          <t>SKÅNE LÄN</t>
        </is>
      </c>
      <c r="G53" t="inlineStr">
        <is>
          <t>PERSTORP</t>
        </is>
      </c>
      <c r="I53" t="n">
        <v>3.3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18947-2026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46127</v>
      </c>
      <c r="E54" s="1" t="n">
        <v>46320</v>
      </c>
      <c r="F54" t="inlineStr">
        <is>
          <t>SKÅNE LÄN</t>
        </is>
      </c>
      <c r="G54" t="inlineStr">
        <is>
          <t>PERSTORP</t>
        </is>
      </c>
      <c r="H54" t="inlineStr">
        <is>
          <t>Kyrkan</t>
        </is>
      </c>
      <c r="I54" t="n">
        <v>6.1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35193-2026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46260</v>
      </c>
      <c r="E55" s="1" t="n">
        <v>46320</v>
      </c>
      <c r="F55" t="inlineStr">
        <is>
          <t>SKÅNE LÄN</t>
        </is>
      </c>
      <c r="G55" t="inlineStr">
        <is>
          <t>PERSTORP</t>
        </is>
      </c>
      <c r="I55" t="n">
        <v>1.5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42534-2026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46308</v>
      </c>
      <c r="E56" s="1" t="n">
        <v>46320</v>
      </c>
      <c r="F56" t="inlineStr">
        <is>
          <t>SKÅNE LÄN</t>
        </is>
      </c>
      <c r="G56" t="inlineStr">
        <is>
          <t>PERSTORP</t>
        </is>
      </c>
      <c r="I56" t="n">
        <v>2.3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53586-2022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44875</v>
      </c>
      <c r="E57" s="1" t="n">
        <v>46320</v>
      </c>
      <c r="F57" t="inlineStr">
        <is>
          <t>SKÅNE LÄN</t>
        </is>
      </c>
      <c r="G57" t="inlineStr">
        <is>
          <t>PERSTORP</t>
        </is>
      </c>
      <c r="H57" t="inlineStr">
        <is>
          <t>Övriga Aktiebolag</t>
        </is>
      </c>
      <c r="I57" t="n">
        <v>1.9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47289-2025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45930</v>
      </c>
      <c r="E58" s="1" t="n">
        <v>46320</v>
      </c>
      <c r="F58" t="inlineStr">
        <is>
          <t>SKÅNE LÄN</t>
        </is>
      </c>
      <c r="G58" t="inlineStr">
        <is>
          <t>PERSTORP</t>
        </is>
      </c>
      <c r="I58" t="n">
        <v>3.7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2015-2023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44939</v>
      </c>
      <c r="E59" s="1" t="n">
        <v>46320</v>
      </c>
      <c r="F59" t="inlineStr">
        <is>
          <t>SKÅNE LÄN</t>
        </is>
      </c>
      <c r="G59" t="inlineStr">
        <is>
          <t>PERSTORP</t>
        </is>
      </c>
      <c r="I59" t="n">
        <v>1.5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36225-2026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46268</v>
      </c>
      <c r="E60" s="1" t="n">
        <v>46320</v>
      </c>
      <c r="F60" t="inlineStr">
        <is>
          <t>SKÅNE LÄN</t>
        </is>
      </c>
      <c r="G60" t="inlineStr">
        <is>
          <t>PERSTORP</t>
        </is>
      </c>
      <c r="H60" t="inlineStr">
        <is>
          <t>Övriga Aktiebolag</t>
        </is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12182-2022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44636</v>
      </c>
      <c r="E61" s="1" t="n">
        <v>46320</v>
      </c>
      <c r="F61" t="inlineStr">
        <is>
          <t>SKÅNE LÄN</t>
        </is>
      </c>
      <c r="G61" t="inlineStr">
        <is>
          <t>PERSTORP</t>
        </is>
      </c>
      <c r="I61" t="n">
        <v>0.8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42435-2024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45565</v>
      </c>
      <c r="E62" s="1" t="n">
        <v>46320</v>
      </c>
      <c r="F62" t="inlineStr">
        <is>
          <t>SKÅNE LÄN</t>
        </is>
      </c>
      <c r="G62" t="inlineStr">
        <is>
          <t>PERSTORP</t>
        </is>
      </c>
      <c r="I62" t="n">
        <v>1.9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28097-2025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45817</v>
      </c>
      <c r="E63" s="1" t="n">
        <v>46320</v>
      </c>
      <c r="F63" t="inlineStr">
        <is>
          <t>SKÅNE LÄN</t>
        </is>
      </c>
      <c r="G63" t="inlineStr">
        <is>
          <t>PERSTORP</t>
        </is>
      </c>
      <c r="I63" t="n">
        <v>6.4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37598-2026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46276</v>
      </c>
      <c r="E64" s="1" t="n">
        <v>46320</v>
      </c>
      <c r="F64" t="inlineStr">
        <is>
          <t>SKÅNE LÄN</t>
        </is>
      </c>
      <c r="G64" t="inlineStr">
        <is>
          <t>PERSTORP</t>
        </is>
      </c>
      <c r="I64" t="n">
        <v>1.7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60501-2023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45259</v>
      </c>
      <c r="E65" s="1" t="n">
        <v>46320</v>
      </c>
      <c r="F65" t="inlineStr">
        <is>
          <t>SKÅNE LÄN</t>
        </is>
      </c>
      <c r="G65" t="inlineStr">
        <is>
          <t>PERSTORP</t>
        </is>
      </c>
      <c r="H65" t="inlineStr">
        <is>
          <t>Övriga Aktiebolag</t>
        </is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21733-2026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46149</v>
      </c>
      <c r="E66" s="1" t="n">
        <v>46320</v>
      </c>
      <c r="F66" t="inlineStr">
        <is>
          <t>SKÅNE LÄN</t>
        </is>
      </c>
      <c r="G66" t="inlineStr">
        <is>
          <t>PERSTORP</t>
        </is>
      </c>
      <c r="I66" t="n">
        <v>16.7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2684-2024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45314</v>
      </c>
      <c r="E67" s="1" t="n">
        <v>46320</v>
      </c>
      <c r="F67" t="inlineStr">
        <is>
          <t>SKÅNE LÄN</t>
        </is>
      </c>
      <c r="G67" t="inlineStr">
        <is>
          <t>PERSTORP</t>
        </is>
      </c>
      <c r="H67" t="inlineStr">
        <is>
          <t>Övriga Aktiebolag</t>
        </is>
      </c>
      <c r="I67" t="n">
        <v>2.6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38329-2023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45161</v>
      </c>
      <c r="E68" s="1" t="n">
        <v>46320</v>
      </c>
      <c r="F68" t="inlineStr">
        <is>
          <t>SKÅNE LÄN</t>
        </is>
      </c>
      <c r="G68" t="inlineStr">
        <is>
          <t>PERSTORP</t>
        </is>
      </c>
      <c r="I68" t="n">
        <v>0.9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7043-2025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45701</v>
      </c>
      <c r="E69" s="1" t="n">
        <v>46320</v>
      </c>
      <c r="F69" t="inlineStr">
        <is>
          <t>SKÅNE LÄN</t>
        </is>
      </c>
      <c r="G69" t="inlineStr">
        <is>
          <t>PERSTORP</t>
        </is>
      </c>
      <c r="H69" t="inlineStr">
        <is>
          <t>Övriga Aktiebolag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52617-2023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45219</v>
      </c>
      <c r="E70" s="1" t="n">
        <v>46320</v>
      </c>
      <c r="F70" t="inlineStr">
        <is>
          <t>SKÅNE LÄN</t>
        </is>
      </c>
      <c r="G70" t="inlineStr">
        <is>
          <t>PERSTORP</t>
        </is>
      </c>
      <c r="H70" t="inlineStr">
        <is>
          <t>Övriga Aktiebolag</t>
        </is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28244-2022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44746</v>
      </c>
      <c r="E71" s="1" t="n">
        <v>46320</v>
      </c>
      <c r="F71" t="inlineStr">
        <is>
          <t>SKÅNE LÄN</t>
        </is>
      </c>
      <c r="G71" t="inlineStr">
        <is>
          <t>PERSTORP</t>
        </is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23785-2023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45078</v>
      </c>
      <c r="E72" s="1" t="n">
        <v>46320</v>
      </c>
      <c r="F72" t="inlineStr">
        <is>
          <t>SKÅNE LÄN</t>
        </is>
      </c>
      <c r="G72" t="inlineStr">
        <is>
          <t>PERSTORP</t>
        </is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46737-2024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45583</v>
      </c>
      <c r="E73" s="1" t="n">
        <v>46320</v>
      </c>
      <c r="F73" t="inlineStr">
        <is>
          <t>SKÅNE LÄN</t>
        </is>
      </c>
      <c r="G73" t="inlineStr">
        <is>
          <t>PERSTORP</t>
        </is>
      </c>
      <c r="I73" t="n">
        <v>1.1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16337-2025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45751</v>
      </c>
      <c r="E74" s="1" t="n">
        <v>46320</v>
      </c>
      <c r="F74" t="inlineStr">
        <is>
          <t>SKÅNE LÄN</t>
        </is>
      </c>
      <c r="G74" t="inlineStr">
        <is>
          <t>PERSTORP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16331-2025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45751</v>
      </c>
      <c r="E75" s="1" t="n">
        <v>46320</v>
      </c>
      <c r="F75" t="inlineStr">
        <is>
          <t>SKÅNE LÄN</t>
        </is>
      </c>
      <c r="G75" t="inlineStr">
        <is>
          <t>PERSTORP</t>
        </is>
      </c>
      <c r="I75" t="n">
        <v>0.9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60498-2023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45259</v>
      </c>
      <c r="E76" s="1" t="n">
        <v>46320</v>
      </c>
      <c r="F76" t="inlineStr">
        <is>
          <t>SKÅNE LÄN</t>
        </is>
      </c>
      <c r="G76" t="inlineStr">
        <is>
          <t>PERSTORP</t>
        </is>
      </c>
      <c r="H76" t="inlineStr">
        <is>
          <t>Övriga Aktiebolag</t>
        </is>
      </c>
      <c r="I76" t="n">
        <v>3.5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12911-2025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45733</v>
      </c>
      <c r="E77" s="1" t="n">
        <v>46320</v>
      </c>
      <c r="F77" t="inlineStr">
        <is>
          <t>SKÅNE LÄN</t>
        </is>
      </c>
      <c r="G77" t="inlineStr">
        <is>
          <t>PERSTORP</t>
        </is>
      </c>
      <c r="I77" t="n">
        <v>3.4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12912-2025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45733</v>
      </c>
      <c r="E78" s="1" t="n">
        <v>46320</v>
      </c>
      <c r="F78" t="inlineStr">
        <is>
          <t>SKÅNE LÄN</t>
        </is>
      </c>
      <c r="G78" t="inlineStr">
        <is>
          <t>PERSTORP</t>
        </is>
      </c>
      <c r="I78" t="n">
        <v>3.3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38324-2023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45161</v>
      </c>
      <c r="E79" s="1" t="n">
        <v>46320</v>
      </c>
      <c r="F79" t="inlineStr">
        <is>
          <t>SKÅNE LÄN</t>
        </is>
      </c>
      <c r="G79" t="inlineStr">
        <is>
          <t>PERSTORP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8704-2024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45356</v>
      </c>
      <c r="E80" s="1" t="n">
        <v>46320</v>
      </c>
      <c r="F80" t="inlineStr">
        <is>
          <t>SKÅNE LÄN</t>
        </is>
      </c>
      <c r="G80" t="inlineStr">
        <is>
          <t>PERSTORP</t>
        </is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21208-2023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45062</v>
      </c>
      <c r="E81" s="1" t="n">
        <v>46320</v>
      </c>
      <c r="F81" t="inlineStr">
        <is>
          <t>SKÅNE LÄN</t>
        </is>
      </c>
      <c r="G81" t="inlineStr">
        <is>
          <t>PERSTORP</t>
        </is>
      </c>
      <c r="I81" t="n">
        <v>1.1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11701-2023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44992</v>
      </c>
      <c r="E82" s="1" t="n">
        <v>46320</v>
      </c>
      <c r="F82" t="inlineStr">
        <is>
          <t>SKÅNE LÄN</t>
        </is>
      </c>
      <c r="G82" t="inlineStr">
        <is>
          <t>PERSTORP</t>
        </is>
      </c>
      <c r="H82" t="inlineStr">
        <is>
          <t>Övriga Aktiebolag</t>
        </is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52740-2024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45610</v>
      </c>
      <c r="E83" s="1" t="n">
        <v>46320</v>
      </c>
      <c r="F83" t="inlineStr">
        <is>
          <t>SKÅNE LÄN</t>
        </is>
      </c>
      <c r="G83" t="inlineStr">
        <is>
          <t>PERSTORP</t>
        </is>
      </c>
      <c r="I83" t="n">
        <v>1.4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2950-2023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44945</v>
      </c>
      <c r="E84" s="1" t="n">
        <v>46320</v>
      </c>
      <c r="F84" t="inlineStr">
        <is>
          <t>SKÅNE LÄN</t>
        </is>
      </c>
      <c r="G84" t="inlineStr">
        <is>
          <t>PERSTORP</t>
        </is>
      </c>
      <c r="I84" t="n">
        <v>1.7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9368-2023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44981</v>
      </c>
      <c r="E85" s="1" t="n">
        <v>46320</v>
      </c>
      <c r="F85" t="inlineStr">
        <is>
          <t>SKÅNE LÄN</t>
        </is>
      </c>
      <c r="G85" t="inlineStr">
        <is>
          <t>PERSTORP</t>
        </is>
      </c>
      <c r="I85" t="n">
        <v>3.9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7508-2025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45702</v>
      </c>
      <c r="E86" s="1" t="n">
        <v>46320</v>
      </c>
      <c r="F86" t="inlineStr">
        <is>
          <t>SKÅNE LÄN</t>
        </is>
      </c>
      <c r="G86" t="inlineStr">
        <is>
          <t>PERSTORP</t>
        </is>
      </c>
      <c r="H86" t="inlineStr">
        <is>
          <t>Övriga Aktiebolag</t>
        </is>
      </c>
      <c r="I86" t="n">
        <v>2.3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7510-2025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45702</v>
      </c>
      <c r="E87" s="1" t="n">
        <v>46320</v>
      </c>
      <c r="F87" t="inlineStr">
        <is>
          <t>SKÅNE LÄN</t>
        </is>
      </c>
      <c r="G87" t="inlineStr">
        <is>
          <t>PERSTORP</t>
        </is>
      </c>
      <c r="H87" t="inlineStr">
        <is>
          <t>Övriga Aktiebolag</t>
        </is>
      </c>
      <c r="I87" t="n">
        <v>1.8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35194-2023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45145</v>
      </c>
      <c r="E88" s="1" t="n">
        <v>46320</v>
      </c>
      <c r="F88" t="inlineStr">
        <is>
          <t>SKÅNE LÄN</t>
        </is>
      </c>
      <c r="G88" t="inlineStr">
        <is>
          <t>PERSTORP</t>
        </is>
      </c>
      <c r="I88" t="n">
        <v>0.7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38328-2023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45161</v>
      </c>
      <c r="E89" s="1" t="n">
        <v>46320</v>
      </c>
      <c r="F89" t="inlineStr">
        <is>
          <t>SKÅNE LÄN</t>
        </is>
      </c>
      <c r="G89" t="inlineStr">
        <is>
          <t>PERSTORP</t>
        </is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13267-2023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45003</v>
      </c>
      <c r="E90" s="1" t="n">
        <v>46320</v>
      </c>
      <c r="F90" t="inlineStr">
        <is>
          <t>SKÅNE LÄN</t>
        </is>
      </c>
      <c r="G90" t="inlineStr">
        <is>
          <t>PERSTORP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28751-2024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45478</v>
      </c>
      <c r="E91" s="1" t="n">
        <v>46320</v>
      </c>
      <c r="F91" t="inlineStr">
        <is>
          <t>SKÅNE LÄN</t>
        </is>
      </c>
      <c r="G91" t="inlineStr">
        <is>
          <t>PERSTORP</t>
        </is>
      </c>
      <c r="I91" t="n">
        <v>2.8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52575-2023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45219</v>
      </c>
      <c r="E92" s="1" t="n">
        <v>46320</v>
      </c>
      <c r="F92" t="inlineStr">
        <is>
          <t>SKÅNE LÄN</t>
        </is>
      </c>
      <c r="G92" t="inlineStr">
        <is>
          <t>PERSTORP</t>
        </is>
      </c>
      <c r="H92" t="inlineStr">
        <is>
          <t>Övriga Aktiebolag</t>
        </is>
      </c>
      <c r="I92" t="n">
        <v>10.2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52583-2023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45219</v>
      </c>
      <c r="E93" s="1" t="n">
        <v>46320</v>
      </c>
      <c r="F93" t="inlineStr">
        <is>
          <t>SKÅNE LÄN</t>
        </is>
      </c>
      <c r="G93" t="inlineStr">
        <is>
          <t>PERSTORP</t>
        </is>
      </c>
      <c r="H93" t="inlineStr">
        <is>
          <t>Övriga Aktiebolag</t>
        </is>
      </c>
      <c r="I93" t="n">
        <v>1.3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52615-2023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45219</v>
      </c>
      <c r="E94" s="1" t="n">
        <v>46320</v>
      </c>
      <c r="F94" t="inlineStr">
        <is>
          <t>SKÅNE LÄN</t>
        </is>
      </c>
      <c r="G94" t="inlineStr">
        <is>
          <t>PERSTORP</t>
        </is>
      </c>
      <c r="H94" t="inlineStr">
        <is>
          <t>Övriga Aktiebolag</t>
        </is>
      </c>
      <c r="I94" t="n">
        <v>0.7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29867-2023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45107</v>
      </c>
      <c r="E95" s="1" t="n">
        <v>46320</v>
      </c>
      <c r="F95" t="inlineStr">
        <is>
          <t>SKÅNE LÄN</t>
        </is>
      </c>
      <c r="G95" t="inlineStr">
        <is>
          <t>PERSTORP</t>
        </is>
      </c>
      <c r="I95" t="n">
        <v>6.2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14473-2024</t>
        </is>
      </c>
      <c r="B96" t="inlineStr">
        <is>
          <t>avverkningsanmälan</t>
        </is>
      </c>
      <c r="C96" t="inlineStr">
        <is>
          <t>Avverkning för annat ändamål</t>
        </is>
      </c>
      <c r="D96" s="1" t="n">
        <v>45394</v>
      </c>
      <c r="E96" s="1" t="n">
        <v>46320</v>
      </c>
      <c r="F96" t="inlineStr">
        <is>
          <t>SKÅNE LÄN</t>
        </is>
      </c>
      <c r="G96" t="inlineStr">
        <is>
          <t>PERSTORP</t>
        </is>
      </c>
      <c r="I96" t="n">
        <v>2.5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55410-2022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44882</v>
      </c>
      <c r="E97" s="1" t="n">
        <v>46320</v>
      </c>
      <c r="F97" t="inlineStr">
        <is>
          <t>SKÅNE LÄN</t>
        </is>
      </c>
      <c r="G97" t="inlineStr">
        <is>
          <t>PERSTORP</t>
        </is>
      </c>
      <c r="H97" t="inlineStr">
        <is>
          <t>Övriga Aktiebolag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28247-2022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44746</v>
      </c>
      <c r="E98" s="1" t="n">
        <v>46320</v>
      </c>
      <c r="F98" t="inlineStr">
        <is>
          <t>SKÅNE LÄN</t>
        </is>
      </c>
      <c r="G98" t="inlineStr">
        <is>
          <t>PERSTORP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38936-2023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45163</v>
      </c>
      <c r="E99" s="1" t="n">
        <v>46320</v>
      </c>
      <c r="F99" t="inlineStr">
        <is>
          <t>SKÅNE LÄN</t>
        </is>
      </c>
      <c r="G99" t="inlineStr">
        <is>
          <t>PERSTORP</t>
        </is>
      </c>
      <c r="I99" t="n">
        <v>2.4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62293-2022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44923</v>
      </c>
      <c r="E100" s="1" t="n">
        <v>46320</v>
      </c>
      <c r="F100" t="inlineStr">
        <is>
          <t>SKÅNE LÄN</t>
        </is>
      </c>
      <c r="G100" t="inlineStr">
        <is>
          <t>PERSTORP</t>
        </is>
      </c>
      <c r="I100" t="n">
        <v>3.7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62296-2022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44923</v>
      </c>
      <c r="E101" s="1" t="n">
        <v>46320</v>
      </c>
      <c r="F101" t="inlineStr">
        <is>
          <t>SKÅNE LÄN</t>
        </is>
      </c>
      <c r="G101" t="inlineStr">
        <is>
          <t>PERSTORP</t>
        </is>
      </c>
      <c r="I101" t="n">
        <v>1.2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31802-2023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45106</v>
      </c>
      <c r="E102" s="1" t="n">
        <v>46320</v>
      </c>
      <c r="F102" t="inlineStr">
        <is>
          <t>SKÅNE LÄN</t>
        </is>
      </c>
      <c r="G102" t="inlineStr">
        <is>
          <t>PERSTORP</t>
        </is>
      </c>
      <c r="H102" t="inlineStr">
        <is>
          <t>Övriga Aktiebolag</t>
        </is>
      </c>
      <c r="I102" t="n">
        <v>1.3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60504-2023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45259</v>
      </c>
      <c r="E103" s="1" t="n">
        <v>46320</v>
      </c>
      <c r="F103" t="inlineStr">
        <is>
          <t>SKÅNE LÄN</t>
        </is>
      </c>
      <c r="G103" t="inlineStr">
        <is>
          <t>PERSTORP</t>
        </is>
      </c>
      <c r="H103" t="inlineStr">
        <is>
          <t>Övriga Aktiebolag</t>
        </is>
      </c>
      <c r="I103" t="n">
        <v>3.5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10941-2024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45370</v>
      </c>
      <c r="E104" s="1" t="n">
        <v>46320</v>
      </c>
      <c r="F104" t="inlineStr">
        <is>
          <t>SKÅNE LÄN</t>
        </is>
      </c>
      <c r="G104" t="inlineStr">
        <is>
          <t>PERSTORP</t>
        </is>
      </c>
      <c r="H104" t="inlineStr">
        <is>
          <t>Övriga Aktiebolag</t>
        </is>
      </c>
      <c r="I104" t="n">
        <v>0.7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42454-2024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45565</v>
      </c>
      <c r="E105" s="1" t="n">
        <v>46320</v>
      </c>
      <c r="F105" t="inlineStr">
        <is>
          <t>SKÅNE LÄN</t>
        </is>
      </c>
      <c r="G105" t="inlineStr">
        <is>
          <t>PERSTORP</t>
        </is>
      </c>
      <c r="I105" t="n">
        <v>1.3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4688-2022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44592</v>
      </c>
      <c r="E106" s="1" t="n">
        <v>46320</v>
      </c>
      <c r="F106" t="inlineStr">
        <is>
          <t>SKÅNE LÄN</t>
        </is>
      </c>
      <c r="G106" t="inlineStr">
        <is>
          <t>PERSTORP</t>
        </is>
      </c>
      <c r="I106" t="n">
        <v>2.3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S 1482-2022</t>
        </is>
      </c>
      <c r="B107" t="inlineStr">
        <is>
          <t>samrådsanmälan</t>
        </is>
      </c>
      <c r="C107" t="inlineStr">
        <is>
          <t>Skogsbilväg</t>
        </is>
      </c>
      <c r="D107" s="1" t="n">
        <v>44637</v>
      </c>
      <c r="E107" s="1" t="n">
        <v>46320</v>
      </c>
      <c r="F107" t="inlineStr">
        <is>
          <t>SKÅNE LÄN</t>
        </is>
      </c>
      <c r="G107" t="inlineStr">
        <is>
          <t>PERSTORP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S 1708-2024</t>
        </is>
      </c>
      <c r="B108" t="inlineStr">
        <is>
          <t>samrådsanmälan</t>
        </is>
      </c>
      <c r="C108" t="inlineStr">
        <is>
          <t>Askåterföring</t>
        </is>
      </c>
      <c r="D108" s="1" t="n">
        <v>45434</v>
      </c>
      <c r="E108" s="1" t="n">
        <v>46320</v>
      </c>
      <c r="F108" t="inlineStr">
        <is>
          <t>SKÅNE LÄN</t>
        </is>
      </c>
      <c r="G108" t="inlineStr">
        <is>
          <t>PERSTORP</t>
        </is>
      </c>
      <c r="H108" t="inlineStr">
        <is>
          <t>Övriga Aktiebolag</t>
        </is>
      </c>
      <c r="I108" t="n">
        <v>9.4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S 7204-2022</t>
        </is>
      </c>
      <c r="B109" t="inlineStr">
        <is>
          <t>samrådsanmälan</t>
        </is>
      </c>
      <c r="C109" t="inlineStr">
        <is>
          <t>Askåterföring</t>
        </is>
      </c>
      <c r="D109" s="1" t="n">
        <v>44918</v>
      </c>
      <c r="E109" s="1" t="n">
        <v>46320</v>
      </c>
      <c r="F109" t="inlineStr">
        <is>
          <t>SKÅNE LÄN</t>
        </is>
      </c>
      <c r="G109" t="inlineStr">
        <is>
          <t>PERSTORP</t>
        </is>
      </c>
      <c r="I109" t="n">
        <v>10.7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S 5383-2022</t>
        </is>
      </c>
      <c r="B110" t="inlineStr">
        <is>
          <t>samrådsanmälan</t>
        </is>
      </c>
      <c r="C110" t="inlineStr">
        <is>
          <t>Askåterföring</t>
        </is>
      </c>
      <c r="D110" s="1" t="n">
        <v>44830</v>
      </c>
      <c r="E110" s="1" t="n">
        <v>46320</v>
      </c>
      <c r="F110" t="inlineStr">
        <is>
          <t>SKÅNE LÄN</t>
        </is>
      </c>
      <c r="G110" t="inlineStr">
        <is>
          <t>PERSTORP</t>
        </is>
      </c>
      <c r="I110" t="n">
        <v>44.5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S 10184-2021</t>
        </is>
      </c>
      <c r="B111" t="inlineStr">
        <is>
          <t>samrådsanmälan</t>
        </is>
      </c>
      <c r="C111" t="inlineStr">
        <is>
          <t>Askåterföring</t>
        </is>
      </c>
      <c r="D111" s="1" t="n">
        <v>44543</v>
      </c>
      <c r="E111" s="1" t="n">
        <v>46320</v>
      </c>
      <c r="F111" t="inlineStr">
        <is>
          <t>SKÅNE LÄN</t>
        </is>
      </c>
      <c r="G111" t="inlineStr">
        <is>
          <t>PERSTORP</t>
        </is>
      </c>
      <c r="I111" t="n">
        <v>17.5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S 824-2023</t>
        </is>
      </c>
      <c r="B112" t="inlineStr">
        <is>
          <t>samrådsanmälan</t>
        </is>
      </c>
      <c r="C112" t="inlineStr">
        <is>
          <t>Askåterföring</t>
        </is>
      </c>
      <c r="D112" s="1" t="n">
        <v>44988</v>
      </c>
      <c r="E112" s="1" t="n">
        <v>46320</v>
      </c>
      <c r="F112" t="inlineStr">
        <is>
          <t>SKÅNE LÄN</t>
        </is>
      </c>
      <c r="G112" t="inlineStr">
        <is>
          <t>PERSTORP</t>
        </is>
      </c>
      <c r="I112" t="n">
        <v>9.4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S 3915-2024</t>
        </is>
      </c>
      <c r="B113" t="inlineStr">
        <is>
          <t>samrådsanmälan</t>
        </is>
      </c>
      <c r="C113" t="inlineStr">
        <is>
          <t>Annan skogsbruksåtgärd</t>
        </is>
      </c>
      <c r="D113" s="1" t="n">
        <v>45565</v>
      </c>
      <c r="E113" s="1" t="n">
        <v>46320</v>
      </c>
      <c r="F113" t="inlineStr">
        <is>
          <t>SKÅNE LÄN</t>
        </is>
      </c>
      <c r="G113" t="inlineStr">
        <is>
          <t>PERSTORP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S 524-2024</t>
        </is>
      </c>
      <c r="B114" t="inlineStr">
        <is>
          <t>samrådsanmälan</t>
        </is>
      </c>
      <c r="C114" t="inlineStr">
        <is>
          <t>Askåterföring</t>
        </is>
      </c>
      <c r="D114" s="1" t="n">
        <v>45348</v>
      </c>
      <c r="E114" s="1" t="n">
        <v>46320</v>
      </c>
      <c r="F114" t="inlineStr">
        <is>
          <t>SKÅNE LÄN</t>
        </is>
      </c>
      <c r="G114" t="inlineStr">
        <is>
          <t>PERSTORP</t>
        </is>
      </c>
      <c r="I114" t="n">
        <v>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S 5974-2022</t>
        </is>
      </c>
      <c r="B115" t="inlineStr">
        <is>
          <t>samrådsanmälan</t>
        </is>
      </c>
      <c r="C115" t="inlineStr">
        <is>
          <t>Askåterföring</t>
        </is>
      </c>
      <c r="D115" s="1" t="n">
        <v>44858</v>
      </c>
      <c r="E115" s="1" t="n">
        <v>46320</v>
      </c>
      <c r="F115" t="inlineStr">
        <is>
          <t>SKÅNE LÄN</t>
        </is>
      </c>
      <c r="G115" t="inlineStr">
        <is>
          <t>PERSTORP</t>
        </is>
      </c>
      <c r="I115" t="n">
        <v>15.8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S 4732-2024</t>
        </is>
      </c>
      <c r="B116" t="inlineStr">
        <is>
          <t>samrådsanmälan</t>
        </is>
      </c>
      <c r="C116" t="inlineStr">
        <is>
          <t>Askåterföring</t>
        </is>
      </c>
      <c r="D116" s="1" t="n">
        <v>45608</v>
      </c>
      <c r="E116" s="1" t="n">
        <v>46320</v>
      </c>
      <c r="F116" t="inlineStr">
        <is>
          <t>SKÅNE LÄN</t>
        </is>
      </c>
      <c r="G116" t="inlineStr">
        <is>
          <t>PERSTORP</t>
        </is>
      </c>
      <c r="I116" t="n">
        <v>1.9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S 1704-2024</t>
        </is>
      </c>
      <c r="B117" t="inlineStr">
        <is>
          <t>samrådsanmälan</t>
        </is>
      </c>
      <c r="C117" t="inlineStr">
        <is>
          <t>Askåterföring</t>
        </is>
      </c>
      <c r="D117" s="1" t="n">
        <v>45434</v>
      </c>
      <c r="E117" s="1" t="n">
        <v>46320</v>
      </c>
      <c r="F117" t="inlineStr">
        <is>
          <t>SKÅNE LÄN</t>
        </is>
      </c>
      <c r="G117" t="inlineStr">
        <is>
          <t>PERSTORP</t>
        </is>
      </c>
      <c r="H117" t="inlineStr">
        <is>
          <t>Övriga Aktiebolag</t>
        </is>
      </c>
      <c r="I117" t="n">
        <v>9.800000000000001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S 823-2023</t>
        </is>
      </c>
      <c r="B118" t="inlineStr">
        <is>
          <t>samrådsanmälan</t>
        </is>
      </c>
      <c r="C118" t="inlineStr">
        <is>
          <t>Askåterföring</t>
        </is>
      </c>
      <c r="D118" s="1" t="n">
        <v>44988</v>
      </c>
      <c r="E118" s="1" t="n">
        <v>46320</v>
      </c>
      <c r="F118" t="inlineStr">
        <is>
          <t>SKÅNE LÄN</t>
        </is>
      </c>
      <c r="G118" t="inlineStr">
        <is>
          <t>PERSTORP</t>
        </is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S 4252-2024</t>
        </is>
      </c>
      <c r="B119" t="inlineStr">
        <is>
          <t>samrådsanmälan</t>
        </is>
      </c>
      <c r="C119" t="inlineStr">
        <is>
          <t>Askåterföring</t>
        </is>
      </c>
      <c r="D119" s="1" t="n">
        <v>45582</v>
      </c>
      <c r="E119" s="1" t="n">
        <v>46320</v>
      </c>
      <c r="F119" t="inlineStr">
        <is>
          <t>SKÅNE LÄN</t>
        </is>
      </c>
      <c r="G119" t="inlineStr">
        <is>
          <t>PERSTORP</t>
        </is>
      </c>
      <c r="I119" t="n">
        <v>13.8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S 111-2023</t>
        </is>
      </c>
      <c r="B120" t="inlineStr">
        <is>
          <t>samrådsanmälan</t>
        </is>
      </c>
      <c r="C120" t="inlineStr">
        <is>
          <t>Askåterföring</t>
        </is>
      </c>
      <c r="D120" s="1" t="n">
        <v>44936</v>
      </c>
      <c r="E120" s="1" t="n">
        <v>46320</v>
      </c>
      <c r="F120" t="inlineStr">
        <is>
          <t>SKÅNE LÄN</t>
        </is>
      </c>
      <c r="G120" t="inlineStr">
        <is>
          <t>PERSTORP</t>
        </is>
      </c>
      <c r="I120" t="n">
        <v>40.1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S 4721-2024</t>
        </is>
      </c>
      <c r="B121" t="inlineStr">
        <is>
          <t>samrådsanmälan</t>
        </is>
      </c>
      <c r="C121" t="inlineStr">
        <is>
          <t>Askåterföring</t>
        </is>
      </c>
      <c r="D121" s="1" t="n">
        <v>45607</v>
      </c>
      <c r="E121" s="1" t="n">
        <v>46320</v>
      </c>
      <c r="F121" t="inlineStr">
        <is>
          <t>SKÅNE LÄN</t>
        </is>
      </c>
      <c r="G121" t="inlineStr">
        <is>
          <t>PERSTORP</t>
        </is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S 109-2023</t>
        </is>
      </c>
      <c r="B122" t="inlineStr">
        <is>
          <t>samrådsanmälan</t>
        </is>
      </c>
      <c r="C122" t="inlineStr">
        <is>
          <t>Askåterföring</t>
        </is>
      </c>
      <c r="D122" s="1" t="n">
        <v>44936</v>
      </c>
      <c r="E122" s="1" t="n">
        <v>46320</v>
      </c>
      <c r="F122" t="inlineStr">
        <is>
          <t>SKÅNE LÄN</t>
        </is>
      </c>
      <c r="G122" t="inlineStr">
        <is>
          <t>PERSTORP</t>
        </is>
      </c>
      <c r="I122" t="n">
        <v>55.2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S 1123-2024</t>
        </is>
      </c>
      <c r="B123" t="inlineStr">
        <is>
          <t>samrådsanmälan</t>
        </is>
      </c>
      <c r="C123" t="inlineStr">
        <is>
          <t>Askåterföring</t>
        </is>
      </c>
      <c r="D123" s="1" t="n">
        <v>45393</v>
      </c>
      <c r="E123" s="1" t="n">
        <v>46320</v>
      </c>
      <c r="F123" t="inlineStr">
        <is>
          <t>SKÅNE LÄN</t>
        </is>
      </c>
      <c r="G123" t="inlineStr">
        <is>
          <t>PERSTORP</t>
        </is>
      </c>
      <c r="I123" t="n">
        <v>13.1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S 938-2023</t>
        </is>
      </c>
      <c r="B124" t="inlineStr">
        <is>
          <t>samrådsanmälan</t>
        </is>
      </c>
      <c r="C124" t="inlineStr">
        <is>
          <t>Askåterföring</t>
        </is>
      </c>
      <c r="D124" s="1" t="n">
        <v>45002</v>
      </c>
      <c r="E124" s="1" t="n">
        <v>46320</v>
      </c>
      <c r="F124" t="inlineStr">
        <is>
          <t>SKÅNE LÄN</t>
        </is>
      </c>
      <c r="G124" t="inlineStr">
        <is>
          <t>PERSTORP</t>
        </is>
      </c>
      <c r="I124" t="n">
        <v>12.7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S 4731-2024</t>
        </is>
      </c>
      <c r="B125" t="inlineStr">
        <is>
          <t>samrådsanmälan</t>
        </is>
      </c>
      <c r="C125" t="inlineStr">
        <is>
          <t>Askåterföring</t>
        </is>
      </c>
      <c r="D125" s="1" t="n">
        <v>45608</v>
      </c>
      <c r="E125" s="1" t="n">
        <v>46320</v>
      </c>
      <c r="F125" t="inlineStr">
        <is>
          <t>SKÅNE LÄN</t>
        </is>
      </c>
      <c r="G125" t="inlineStr">
        <is>
          <t>PERSTORP</t>
        </is>
      </c>
      <c r="I125" t="n">
        <v>11.6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S 557-2025</t>
        </is>
      </c>
      <c r="B126" t="inlineStr">
        <is>
          <t>samrådsanmälan</t>
        </is>
      </c>
      <c r="C126" t="inlineStr">
        <is>
          <t>Askåterföring</t>
        </is>
      </c>
      <c r="D126" s="1" t="n">
        <v>45709</v>
      </c>
      <c r="E126" s="1" t="n">
        <v>46320</v>
      </c>
      <c r="F126" t="inlineStr">
        <is>
          <t>SKÅNE LÄN</t>
        </is>
      </c>
      <c r="G126" t="inlineStr">
        <is>
          <t>PERSTORP</t>
        </is>
      </c>
      <c r="I126" t="n">
        <v>31.1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S 2486-2025</t>
        </is>
      </c>
      <c r="B127" t="inlineStr">
        <is>
          <t>samrådsanmälan</t>
        </is>
      </c>
      <c r="C127" t="inlineStr">
        <is>
          <t>Askåterföring</t>
        </is>
      </c>
      <c r="D127" s="1" t="n">
        <v>45901</v>
      </c>
      <c r="E127" s="1" t="n">
        <v>46320</v>
      </c>
      <c r="F127" t="inlineStr">
        <is>
          <t>SKÅNE LÄN</t>
        </is>
      </c>
      <c r="G127" t="inlineStr">
        <is>
          <t>PERSTORP</t>
        </is>
      </c>
      <c r="I127" t="n">
        <v>15.1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S 46-2026</t>
        </is>
      </c>
      <c r="B128" t="inlineStr">
        <is>
          <t>samrådsanmälan</t>
        </is>
      </c>
      <c r="C128" t="inlineStr">
        <is>
          <t>Askåterföring</t>
        </is>
      </c>
      <c r="D128" s="1" t="n">
        <v>46030</v>
      </c>
      <c r="E128" s="1" t="n">
        <v>46320</v>
      </c>
      <c r="F128" t="inlineStr">
        <is>
          <t>SKÅNE LÄN</t>
        </is>
      </c>
      <c r="G128" t="inlineStr">
        <is>
          <t>PERSTORP</t>
        </is>
      </c>
      <c r="I128" t="n">
        <v>5.3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S 155-2026</t>
        </is>
      </c>
      <c r="B129" t="inlineStr">
        <is>
          <t>samrådsanmälan</t>
        </is>
      </c>
      <c r="C129" t="inlineStr">
        <is>
          <t>Askåterföring</t>
        </is>
      </c>
      <c r="D129" s="1" t="n">
        <v>46043</v>
      </c>
      <c r="E129" s="1" t="n">
        <v>46320</v>
      </c>
      <c r="F129" t="inlineStr">
        <is>
          <t>SKÅNE LÄN</t>
        </is>
      </c>
      <c r="G129" t="inlineStr">
        <is>
          <t>PERSTORP</t>
        </is>
      </c>
      <c r="H129" t="inlineStr">
        <is>
          <t>Övriga Aktiebolag</t>
        </is>
      </c>
      <c r="I129" t="n">
        <v>20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S 172-2026</t>
        </is>
      </c>
      <c r="B130" t="inlineStr">
        <is>
          <t>samrådsanmälan</t>
        </is>
      </c>
      <c r="C130" t="inlineStr">
        <is>
          <t>Askåterföring</t>
        </is>
      </c>
      <c r="D130" s="1" t="n">
        <v>46044</v>
      </c>
      <c r="E130" s="1" t="n">
        <v>46320</v>
      </c>
      <c r="F130" t="inlineStr">
        <is>
          <t>SKÅNE LÄN</t>
        </is>
      </c>
      <c r="G130" t="inlineStr">
        <is>
          <t>PERSTORP</t>
        </is>
      </c>
      <c r="H130" t="inlineStr">
        <is>
          <t>Övriga Aktiebolag</t>
        </is>
      </c>
      <c r="I130" t="n">
        <v>21.6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S 164-2026</t>
        </is>
      </c>
      <c r="B131" t="inlineStr">
        <is>
          <t>samrådsanmälan</t>
        </is>
      </c>
      <c r="C131" t="inlineStr">
        <is>
          <t>Askåterföring</t>
        </is>
      </c>
      <c r="D131" s="1" t="n">
        <v>46044</v>
      </c>
      <c r="E131" s="1" t="n">
        <v>46320</v>
      </c>
      <c r="F131" t="inlineStr">
        <is>
          <t>SKÅNE LÄN</t>
        </is>
      </c>
      <c r="G131" t="inlineStr">
        <is>
          <t>PERSTORP</t>
        </is>
      </c>
      <c r="H131" t="inlineStr">
        <is>
          <t>Övriga Aktiebolag</t>
        </is>
      </c>
      <c r="I131" t="n">
        <v>19.8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S 168-2026</t>
        </is>
      </c>
      <c r="B132" t="inlineStr">
        <is>
          <t>samrådsanmälan</t>
        </is>
      </c>
      <c r="C132" t="inlineStr">
        <is>
          <t>Askåterföring</t>
        </is>
      </c>
      <c r="D132" s="1" t="n">
        <v>46044</v>
      </c>
      <c r="E132" s="1" t="n">
        <v>46320</v>
      </c>
      <c r="F132" t="inlineStr">
        <is>
          <t>SKÅNE LÄN</t>
        </is>
      </c>
      <c r="G132" t="inlineStr">
        <is>
          <t>PERSTORP</t>
        </is>
      </c>
      <c r="H132" t="inlineStr">
        <is>
          <t>Övriga Aktiebolag</t>
        </is>
      </c>
      <c r="I132" t="n">
        <v>5.4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S 169-2026</t>
        </is>
      </c>
      <c r="B133" t="inlineStr">
        <is>
          <t>samrådsanmälan</t>
        </is>
      </c>
      <c r="C133" t="inlineStr">
        <is>
          <t>Askåterföring</t>
        </is>
      </c>
      <c r="D133" s="1" t="n">
        <v>46044</v>
      </c>
      <c r="E133" s="1" t="n">
        <v>46320</v>
      </c>
      <c r="F133" t="inlineStr">
        <is>
          <t>SKÅNE LÄN</t>
        </is>
      </c>
      <c r="G133" t="inlineStr">
        <is>
          <t>PERSTORP</t>
        </is>
      </c>
      <c r="H133" t="inlineStr">
        <is>
          <t>Övriga Aktiebolag</t>
        </is>
      </c>
      <c r="I133" t="n">
        <v>8.199999999999999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S 306-2026</t>
        </is>
      </c>
      <c r="B134" t="inlineStr">
        <is>
          <t>samrådsanmälan</t>
        </is>
      </c>
      <c r="C134" t="inlineStr">
        <is>
          <t>Askåterföring</t>
        </is>
      </c>
      <c r="D134" s="1" t="n">
        <v>46058</v>
      </c>
      <c r="E134" s="1" t="n">
        <v>46320</v>
      </c>
      <c r="F134" t="inlineStr">
        <is>
          <t>SKÅNE LÄN</t>
        </is>
      </c>
      <c r="G134" t="inlineStr">
        <is>
          <t>PERSTORP</t>
        </is>
      </c>
      <c r="I134" t="n">
        <v>27.6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S 1178-2026</t>
        </is>
      </c>
      <c r="B135" t="inlineStr">
        <is>
          <t>samrådsanmälan</t>
        </is>
      </c>
      <c r="C135" t="inlineStr">
        <is>
          <t>Askåterföring</t>
        </is>
      </c>
      <c r="D135" s="1" t="n">
        <v>46136</v>
      </c>
      <c r="E135" s="1" t="n">
        <v>46320</v>
      </c>
      <c r="F135" t="inlineStr">
        <is>
          <t>SKÅNE LÄN</t>
        </is>
      </c>
      <c r="G135" t="inlineStr">
        <is>
          <t>PERSTORP</t>
        </is>
      </c>
      <c r="I135" t="n">
        <v>8.1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S 2012-2026</t>
        </is>
      </c>
      <c r="B136" t="inlineStr">
        <is>
          <t>samrådsanmälan</t>
        </is>
      </c>
      <c r="C136" t="inlineStr">
        <is>
          <t>Askåterföring</t>
        </is>
      </c>
      <c r="D136" s="1" t="n">
        <v>46210</v>
      </c>
      <c r="E136" s="1" t="n">
        <v>46320</v>
      </c>
      <c r="F136" t="inlineStr">
        <is>
          <t>SKÅNE LÄN</t>
        </is>
      </c>
      <c r="G136" t="inlineStr">
        <is>
          <t>PERSTORP</t>
        </is>
      </c>
      <c r="H136" t="inlineStr">
        <is>
          <t>Övriga Aktiebolag</t>
        </is>
      </c>
      <c r="I136" t="n">
        <v>11.1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S 2013-2026</t>
        </is>
      </c>
      <c r="B137" t="inlineStr">
        <is>
          <t>samrådsanmälan</t>
        </is>
      </c>
      <c r="C137" t="inlineStr">
        <is>
          <t>Askåterföring</t>
        </is>
      </c>
      <c r="D137" s="1" t="n">
        <v>46210</v>
      </c>
      <c r="E137" s="1" t="n">
        <v>46320</v>
      </c>
      <c r="F137" t="inlineStr">
        <is>
          <t>SKÅNE LÄN</t>
        </is>
      </c>
      <c r="G137" t="inlineStr">
        <is>
          <t>PERSTORP</t>
        </is>
      </c>
      <c r="H137" t="inlineStr">
        <is>
          <t>Övriga Aktiebolag</t>
        </is>
      </c>
      <c r="I137" t="n">
        <v>17.7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S 2011-2026</t>
        </is>
      </c>
      <c r="B138" t="inlineStr">
        <is>
          <t>samrådsanmälan</t>
        </is>
      </c>
      <c r="C138" t="inlineStr">
        <is>
          <t>Askåterföring</t>
        </is>
      </c>
      <c r="D138" s="1" t="n">
        <v>46210</v>
      </c>
      <c r="E138" s="1" t="n">
        <v>46320</v>
      </c>
      <c r="F138" t="inlineStr">
        <is>
          <t>SKÅNE LÄN</t>
        </is>
      </c>
      <c r="G138" t="inlineStr">
        <is>
          <t>PERSTORP</t>
        </is>
      </c>
      <c r="H138" t="inlineStr">
        <is>
          <t>Övriga Aktiebolag</t>
        </is>
      </c>
      <c r="I138" t="n">
        <v>28.1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S 2015-2026</t>
        </is>
      </c>
      <c r="B139" t="inlineStr">
        <is>
          <t>samrådsanmälan</t>
        </is>
      </c>
      <c r="C139" t="inlineStr">
        <is>
          <t>Askåterföring</t>
        </is>
      </c>
      <c r="D139" s="1" t="n">
        <v>46210</v>
      </c>
      <c r="E139" s="1" t="n">
        <v>46320</v>
      </c>
      <c r="F139" t="inlineStr">
        <is>
          <t>SKÅNE LÄN</t>
        </is>
      </c>
      <c r="G139" t="inlineStr">
        <is>
          <t>PERSTORP</t>
        </is>
      </c>
      <c r="H139" t="inlineStr">
        <is>
          <t>Övriga Aktiebolag</t>
        </is>
      </c>
      <c r="I139" t="n">
        <v>15.2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S 2017-2026</t>
        </is>
      </c>
      <c r="B140" t="inlineStr">
        <is>
          <t>samrådsanmälan</t>
        </is>
      </c>
      <c r="C140" t="inlineStr">
        <is>
          <t>Askåterföring</t>
        </is>
      </c>
      <c r="D140" s="1" t="n">
        <v>46210</v>
      </c>
      <c r="E140" s="1" t="n">
        <v>46320</v>
      </c>
      <c r="F140" t="inlineStr">
        <is>
          <t>SKÅNE LÄN</t>
        </is>
      </c>
      <c r="G140" t="inlineStr">
        <is>
          <t>PERSTORP</t>
        </is>
      </c>
      <c r="H140" t="inlineStr">
        <is>
          <t>Övriga Aktiebolag</t>
        </is>
      </c>
      <c r="I140" t="n">
        <v>9.199999999999999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>
      <c r="A141" t="inlineStr">
        <is>
          <t>S 2047-2026</t>
        </is>
      </c>
      <c r="B141" t="inlineStr">
        <is>
          <t>samrådsanmälan</t>
        </is>
      </c>
      <c r="C141" t="inlineStr">
        <is>
          <t>Askåterföring</t>
        </is>
      </c>
      <c r="D141" s="1" t="n">
        <v>46213</v>
      </c>
      <c r="E141" s="1" t="n">
        <v>46320</v>
      </c>
      <c r="F141" t="inlineStr">
        <is>
          <t>SKÅNE LÄN</t>
        </is>
      </c>
      <c r="G141" t="inlineStr">
        <is>
          <t>PERSTORP</t>
        </is>
      </c>
      <c r="H141" t="inlineStr">
        <is>
          <t>Övriga Aktiebolag</t>
        </is>
      </c>
      <c r="I141" t="n">
        <v>18.5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2026-10-25T02:05:15Z</dcterms:created>
  <dcterms:modified xmlns:dcterms="http://purl.org/dc/terms/" xmlns:xsi="http://www.w3.org/2001/XMLSchema-instance" xsi:type="dcterms:W3CDTF">2026-10-25T02:05:15Z</dcterms:modified>
</cp:coreProperties>
</file>